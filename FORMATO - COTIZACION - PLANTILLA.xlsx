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ocuments\JHANCARLOS\Pro-forma-python\"/>
    </mc:Choice>
  </mc:AlternateContent>
  <xr:revisionPtr revIDLastSave="0" documentId="13_ncr:1_{E03AACF3-34BA-478F-A14D-6B50392123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" sheetId="3" r:id="rId1"/>
    <sheet name="R5 4600G" sheetId="2" r:id="rId2"/>
    <sheet name="XD" sheetId="1" r:id="rId3"/>
  </sheets>
  <calcPr calcId="181029"/>
</workbook>
</file>

<file path=xl/calcChain.xml><?xml version="1.0" encoding="utf-8"?>
<calcChain xmlns="http://schemas.openxmlformats.org/spreadsheetml/2006/main">
  <c r="H36" i="2" l="1"/>
  <c r="H35" i="2"/>
  <c r="H34" i="2"/>
  <c r="H33" i="2"/>
  <c r="H32" i="2"/>
  <c r="H31" i="2"/>
  <c r="H30" i="2"/>
  <c r="H29" i="2"/>
  <c r="H7" i="2"/>
  <c r="H38" i="3" l="1"/>
  <c r="H40" i="3" s="1"/>
  <c r="H43" i="3" s="1"/>
  <c r="H38" i="2"/>
  <c r="H40" i="2" s="1"/>
  <c r="H43" i="2" s="1"/>
  <c r="H7" i="1" l="1"/>
  <c r="H36" i="1" l="1"/>
  <c r="H35" i="1"/>
  <c r="H34" i="1"/>
  <c r="H33" i="1"/>
  <c r="H32" i="1"/>
  <c r="H31" i="1"/>
  <c r="H30" i="1"/>
  <c r="H29" i="1"/>
  <c r="H28" i="1"/>
  <c r="H27" i="1"/>
  <c r="H26" i="1"/>
  <c r="H25" i="1"/>
  <c r="H24" i="1"/>
  <c r="H38" i="1" l="1"/>
  <c r="H40" i="1"/>
  <c r="H41" i="1" s="1"/>
  <c r="H43" i="1" l="1"/>
</calcChain>
</file>

<file path=xl/sharedStrings.xml><?xml version="1.0" encoding="utf-8"?>
<sst xmlns="http://schemas.openxmlformats.org/spreadsheetml/2006/main" count="93" uniqueCount="39">
  <si>
    <t>Cliente</t>
  </si>
  <si>
    <t>Total parcial</t>
  </si>
  <si>
    <t>Empresa</t>
  </si>
  <si>
    <t>CANT.</t>
  </si>
  <si>
    <t>TOTAL</t>
  </si>
  <si>
    <t>DESCRIPCIÓN</t>
  </si>
  <si>
    <t>Nº de Pro-forma</t>
  </si>
  <si>
    <t>P. UNITARIO</t>
  </si>
  <si>
    <t>Gracias por la Preferencia!!!</t>
  </si>
  <si>
    <t>Descuento (%)</t>
  </si>
  <si>
    <t>NETO</t>
  </si>
  <si>
    <t>Envío Delivery</t>
  </si>
  <si>
    <t>Fecha</t>
  </si>
  <si>
    <r>
      <t xml:space="preserve"> </t>
    </r>
    <r>
      <rPr>
        <sz val="28"/>
        <color rgb="FF7F7F7F"/>
        <rFont val="Tusker Grotesk 4600 Semibold"/>
      </rPr>
      <t>PRO-FORMA</t>
    </r>
  </si>
  <si>
    <t xml:space="preserve">Computexperu </t>
  </si>
  <si>
    <t>La presente cotización tiene un plazo de 7 días desde la fecha de envío, luego de ella, quedará sin efecto y se deberá recotizar el costo del servicio según las tarifas vigentes.</t>
  </si>
  <si>
    <t>computexeirl@gmail.com</t>
  </si>
  <si>
    <t>932237299 – 963100063</t>
  </si>
  <si>
    <t>Siglo XXI B-30 (Ref. Mi Banco)</t>
  </si>
  <si>
    <t xml:space="preserve">PLACA ASUS PRIME H610M-E D4 DDR4 LGA 1700 </t>
  </si>
  <si>
    <t>PROCESADOR INTEL CORE I3-12100F 3.30GHZ</t>
  </si>
  <si>
    <t xml:space="preserve">Total </t>
  </si>
  <si>
    <t>Impuestos (IGV)</t>
  </si>
  <si>
    <t>TARJETA GRAFICA MSI RADEON RX 6600 XT 8GB GDDR6</t>
  </si>
  <si>
    <t>FUENTE DE PODER EVGA 500W ATX, GOLD 80 PLUS</t>
  </si>
  <si>
    <t xml:space="preserve">COMPUTEXPERU </t>
  </si>
  <si>
    <t>Si usted tiene alguna duda sobre esta cotizacion por favor pongase en contacto con nosotros.</t>
  </si>
  <si>
    <t xml:space="preserve">Fabian Cortes </t>
  </si>
  <si>
    <t xml:space="preserve">953 075 257 </t>
  </si>
  <si>
    <r>
      <t xml:space="preserve">          </t>
    </r>
    <r>
      <rPr>
        <sz val="10"/>
        <rFont val="Calibri"/>
        <family val="2"/>
        <scheme val="minor"/>
      </rPr>
      <t xml:space="preserve">   </t>
    </r>
    <r>
      <rPr>
        <sz val="8"/>
        <rFont val="Calibri"/>
        <family val="2"/>
        <scheme val="minor"/>
      </rPr>
      <t xml:space="preserve"> </t>
    </r>
    <r>
      <rPr>
        <b/>
        <sz val="8"/>
        <rFont val="Calibri"/>
        <family val="2"/>
        <scheme val="minor"/>
      </rPr>
      <t xml:space="preserve">       </t>
    </r>
    <r>
      <rPr>
        <sz val="8"/>
        <rFont val="Calibri"/>
        <family val="2"/>
        <scheme val="minor"/>
      </rPr>
      <t xml:space="preserve"> </t>
    </r>
    <r>
      <rPr>
        <sz val="9"/>
        <rFont val="Calibri"/>
        <family val="2"/>
        <scheme val="minor"/>
      </rPr>
      <t xml:space="preserve">   MEDIOS DE PAGO: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 xml:space="preserve">  </t>
    </r>
    <r>
      <rPr>
        <sz val="10"/>
        <rFont val="Arial"/>
        <family val="2"/>
      </rPr>
      <t xml:space="preserve">             </t>
    </r>
  </si>
  <si>
    <t xml:space="preserve">Rony </t>
  </si>
  <si>
    <t>CPU AMD RYZEN 5 4600G 6N 12 TH AM4 3.7GHZ 11MB TDP 65W</t>
  </si>
  <si>
    <t>MAINBOARD MSI A520M-A-PRO, AM4 AMD</t>
  </si>
  <si>
    <t>MEMORIA TG T-FORCE VULCAN Z 8GB DDR4-3200 MHZ, CL16, 1.35V</t>
  </si>
  <si>
    <t xml:space="preserve">
UNIDAD EN ESTADO SOLIDO MP33 M.2 PCIE SSD, 1TB
</t>
  </si>
  <si>
    <t>CASE TEROS TE1027, MICRO TOWER, 600W</t>
  </si>
  <si>
    <t xml:space="preserve">MONITOR TEROS TE-3131, 23.8" IPS, 75HZ, 1920X1080 FULL </t>
  </si>
  <si>
    <t xml:space="preserve">COMBO 4 EN 1 </t>
  </si>
  <si>
    <t xml:space="preserve"> PRO-FORMA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</si>
</sst>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_-&quot;$&quot;* #,##0.00_-;\-&quot;$&quot;* #,##0.00_-;_-&quot;$&quot;* &quot;-&quot;??_-;_-@"/>
    <numFmt numFmtId="166" formatCode="000000"/>
  </numFmts>
  <fonts count="45">
    <font>
      <sz val="10"/>
      <color rgb="FF000000"/>
      <name val="Arial"/>
    </font>
    <font>
      <sz val="12"/>
      <color rgb="FF000000"/>
      <name val="Roboto"/>
    </font>
    <font>
      <b/>
      <sz val="20"/>
      <color rgb="FFA5A5A5"/>
      <name val="Roboto"/>
    </font>
    <font>
      <b/>
      <sz val="22"/>
      <color rgb="FF4472C4"/>
      <name val="Roboto"/>
    </font>
    <font>
      <sz val="10"/>
      <name val="Roboto"/>
    </font>
    <font>
      <sz val="18"/>
      <color rgb="FF7F7F7F"/>
      <name val="Roboto"/>
    </font>
    <font>
      <sz val="11"/>
      <color rgb="FF333F4F"/>
      <name val="Roboto"/>
    </font>
    <font>
      <sz val="11"/>
      <color rgb="FFFFFFFF"/>
      <name val="Roboto"/>
    </font>
    <font>
      <b/>
      <sz val="9"/>
      <color rgb="FF1F3864"/>
      <name val="Roboto"/>
    </font>
    <font>
      <sz val="10"/>
      <color rgb="FF000000"/>
      <name val="Roboto"/>
    </font>
    <font>
      <sz val="11"/>
      <color rgb="FF0070C0"/>
      <name val="Roboto"/>
    </font>
    <font>
      <i/>
      <sz val="9"/>
      <color rgb="FF333F4F"/>
      <name val="Roboto"/>
    </font>
    <font>
      <sz val="11"/>
      <color rgb="FF1F3864"/>
      <name val="Roboto"/>
    </font>
    <font>
      <sz val="9"/>
      <color rgb="FF000000"/>
      <name val="Roboto"/>
    </font>
    <font>
      <sz val="10"/>
      <name val="Arial"/>
    </font>
    <font>
      <b/>
      <sz val="12"/>
      <color rgb="FF333F4F"/>
      <name val="Roboto"/>
    </font>
    <font>
      <b/>
      <sz val="14"/>
      <name val="Roboto"/>
    </font>
    <font>
      <b/>
      <sz val="9"/>
      <name val="Roboto"/>
    </font>
    <font>
      <sz val="10"/>
      <color rgb="FF333F4F"/>
      <name val="Roboto"/>
    </font>
    <font>
      <b/>
      <sz val="12"/>
      <color rgb="FF1F3864"/>
      <name val="Roboto"/>
    </font>
    <font>
      <sz val="36"/>
      <color rgb="FF7F7F7F"/>
      <name val="Tusker Grotesk 4600 Semibold"/>
    </font>
    <font>
      <sz val="10"/>
      <color rgb="FF000000"/>
      <name val="Arial"/>
      <family val="2"/>
    </font>
    <font>
      <sz val="11"/>
      <color rgb="FF000000"/>
      <name val="Roboto"/>
    </font>
    <font>
      <sz val="12"/>
      <color rgb="FF1F3864"/>
      <name val="Roboto"/>
    </font>
    <font>
      <b/>
      <sz val="12"/>
      <color theme="0"/>
      <name val="Roboto"/>
    </font>
    <font>
      <b/>
      <sz val="11"/>
      <color rgb="FF333F4F"/>
      <name val="Roboto"/>
    </font>
    <font>
      <b/>
      <sz val="11"/>
      <color rgb="FF000000"/>
      <name val="Roboto"/>
    </font>
    <font>
      <sz val="10"/>
      <color theme="1" tint="0.34998626667073579"/>
      <name val="Roboto"/>
    </font>
    <font>
      <sz val="10.5"/>
      <color theme="1" tint="0.34998626667073579"/>
      <name val="Roboto"/>
    </font>
    <font>
      <sz val="11"/>
      <color theme="1" tint="0.14999847407452621"/>
      <name val="Roboto"/>
    </font>
    <font>
      <sz val="28"/>
      <color rgb="FF7F7F7F"/>
      <name val="Tusker Grotesk 4600 Semibold"/>
    </font>
    <font>
      <b/>
      <sz val="22"/>
      <color theme="4"/>
      <name val="Roboto"/>
    </font>
    <font>
      <u/>
      <sz val="10"/>
      <color theme="10"/>
      <name val="Arial"/>
      <family val="2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8"/>
      <color rgb="FF333F4F"/>
      <name val="Roboto"/>
    </font>
    <font>
      <sz val="9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name val="Arial"/>
      <family val="2"/>
    </font>
    <font>
      <sz val="16"/>
      <name val="Roboto"/>
    </font>
    <font>
      <sz val="18"/>
      <color rgb="FF25323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rgb="FFFF5722"/>
      </patternFill>
    </fill>
    <fill>
      <patternFill patternType="solid">
        <fgColor theme="8"/>
        <bgColor indexed="64"/>
      </patternFill>
    </fill>
    <fill>
      <patternFill patternType="solid">
        <fgColor theme="4"/>
        <bgColor rgb="FFF4CCCC"/>
      </patternFill>
    </fill>
  </fills>
  <borders count="1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11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/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14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top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2" fontId="13" fillId="0" borderId="0" xfId="0" applyNumberFormat="1" applyFont="1" applyAlignment="1">
      <alignment vertical="center"/>
    </xf>
    <xf numFmtId="10" fontId="13" fillId="0" borderId="0" xfId="0" applyNumberFormat="1" applyFont="1" applyAlignment="1">
      <alignment vertical="center"/>
    </xf>
    <xf numFmtId="4" fontId="13" fillId="0" borderId="0" xfId="0" applyNumberFormat="1" applyFont="1" applyAlignment="1">
      <alignment vertical="center"/>
    </xf>
    <xf numFmtId="0" fontId="15" fillId="0" borderId="5" xfId="0" applyFont="1" applyBorder="1" applyAlignment="1">
      <alignment horizontal="right" vertical="center"/>
    </xf>
    <xf numFmtId="165" fontId="17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2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5" fillId="0" borderId="2" xfId="0" applyFont="1" applyBorder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25" fillId="0" borderId="4" xfId="0" applyFont="1" applyBorder="1" applyAlignment="1">
      <alignment horizontal="right" vertical="center"/>
    </xf>
    <xf numFmtId="14" fontId="22" fillId="2" borderId="0" xfId="0" applyNumberFormat="1" applyFont="1" applyFill="1" applyAlignment="1">
      <alignment horizontal="center" vertical="center"/>
    </xf>
    <xf numFmtId="4" fontId="22" fillId="0" borderId="3" xfId="0" applyNumberFormat="1" applyFont="1" applyBorder="1" applyAlignment="1">
      <alignment horizontal="center" vertical="center"/>
    </xf>
    <xf numFmtId="2" fontId="22" fillId="4" borderId="3" xfId="0" applyNumberFormat="1" applyFont="1" applyFill="1" applyBorder="1" applyAlignment="1">
      <alignment horizontal="center" vertical="center"/>
    </xf>
    <xf numFmtId="4" fontId="28" fillId="0" borderId="8" xfId="0" applyNumberFormat="1" applyFont="1" applyBorder="1" applyAlignment="1">
      <alignment horizontal="center" vertical="center"/>
    </xf>
    <xf numFmtId="4" fontId="28" fillId="0" borderId="7" xfId="0" applyNumberFormat="1" applyFont="1" applyBorder="1" applyAlignment="1">
      <alignment horizontal="center" vertical="center"/>
    </xf>
    <xf numFmtId="4" fontId="28" fillId="5" borderId="8" xfId="0" applyNumberFormat="1" applyFont="1" applyFill="1" applyBorder="1" applyAlignment="1">
      <alignment horizontal="center" vertical="center"/>
    </xf>
    <xf numFmtId="166" fontId="22" fillId="2" borderId="0" xfId="0" applyNumberFormat="1" applyFont="1" applyFill="1" applyAlignment="1">
      <alignment horizontal="center" vertical="top"/>
    </xf>
    <xf numFmtId="4" fontId="26" fillId="0" borderId="3" xfId="0" applyNumberFormat="1" applyFont="1" applyBorder="1" applyAlignment="1">
      <alignment horizontal="center" vertical="center"/>
    </xf>
    <xf numFmtId="4" fontId="22" fillId="4" borderId="3" xfId="0" applyNumberFormat="1" applyFont="1" applyFill="1" applyBorder="1" applyAlignment="1">
      <alignment horizontal="center" vertical="center"/>
    </xf>
    <xf numFmtId="0" fontId="21" fillId="0" borderId="0" xfId="0" applyFont="1"/>
    <xf numFmtId="3" fontId="28" fillId="0" borderId="8" xfId="0" applyNumberFormat="1" applyFont="1" applyBorder="1" applyAlignment="1">
      <alignment horizontal="center" vertical="center"/>
    </xf>
    <xf numFmtId="3" fontId="28" fillId="5" borderId="8" xfId="0" applyNumberFormat="1" applyFont="1" applyFill="1" applyBorder="1" applyAlignment="1">
      <alignment horizontal="center" vertical="center"/>
    </xf>
    <xf numFmtId="3" fontId="28" fillId="0" borderId="7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1" fillId="6" borderId="0" xfId="0" applyFont="1" applyFill="1" applyAlignment="1">
      <alignment vertical="center"/>
    </xf>
    <xf numFmtId="0" fontId="3" fillId="6" borderId="0" xfId="0" applyFont="1" applyFill="1" applyAlignment="1">
      <alignment horizontal="right" vertical="center"/>
    </xf>
    <xf numFmtId="0" fontId="4" fillId="6" borderId="0" xfId="0" applyFont="1" applyFill="1"/>
    <xf numFmtId="0" fontId="24" fillId="7" borderId="0" xfId="0" applyFont="1" applyFill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4" fontId="16" fillId="8" borderId="6" xfId="0" applyNumberFormat="1" applyFont="1" applyFill="1" applyBorder="1" applyAlignment="1">
      <alignment horizontal="center" vertical="center"/>
    </xf>
    <xf numFmtId="0" fontId="32" fillId="0" borderId="0" xfId="1" applyAlignment="1">
      <alignment horizontal="left" vertical="center"/>
    </xf>
    <xf numFmtId="0" fontId="42" fillId="2" borderId="0" xfId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3" fillId="0" borderId="0" xfId="0" applyFont="1"/>
    <xf numFmtId="3" fontId="27" fillId="0" borderId="8" xfId="0" applyNumberFormat="1" applyFont="1" applyBorder="1" applyAlignment="1">
      <alignment horizontal="center" vertical="center"/>
    </xf>
    <xf numFmtId="3" fontId="27" fillId="5" borderId="8" xfId="0" applyNumberFormat="1" applyFont="1" applyFill="1" applyBorder="1" applyAlignment="1">
      <alignment horizontal="center" vertical="center"/>
    </xf>
    <xf numFmtId="3" fontId="27" fillId="0" borderId="7" xfId="0" applyNumberFormat="1" applyFont="1" applyBorder="1" applyAlignment="1">
      <alignment horizontal="center" vertical="center"/>
    </xf>
    <xf numFmtId="4" fontId="27" fillId="0" borderId="8" xfId="0" applyNumberFormat="1" applyFont="1" applyBorder="1" applyAlignment="1">
      <alignment horizontal="center" vertical="center"/>
    </xf>
    <xf numFmtId="4" fontId="27" fillId="5" borderId="8" xfId="0" applyNumberFormat="1" applyFont="1" applyFill="1" applyBorder="1" applyAlignment="1">
      <alignment horizontal="center" vertical="center"/>
    </xf>
    <xf numFmtId="4" fontId="27" fillId="0" borderId="7" xfId="0" applyNumberFormat="1" applyFont="1" applyBorder="1" applyAlignment="1">
      <alignment horizontal="center" vertical="center"/>
    </xf>
    <xf numFmtId="0" fontId="4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33" fillId="0" borderId="0" xfId="0" applyFont="1"/>
    <xf numFmtId="0" fontId="30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/>
    <xf numFmtId="0" fontId="11" fillId="0" borderId="0" xfId="0" applyFont="1" applyAlignment="1">
      <alignment horizontal="right" vertical="top"/>
    </xf>
    <xf numFmtId="0" fontId="27" fillId="5" borderId="9" xfId="0" applyFont="1" applyFill="1" applyBorder="1" applyAlignment="1">
      <alignment horizontal="left" vertical="center"/>
    </xf>
    <xf numFmtId="0" fontId="27" fillId="5" borderId="0" xfId="0" applyFont="1" applyFill="1" applyAlignment="1">
      <alignment horizontal="left" vertical="center"/>
    </xf>
    <xf numFmtId="0" fontId="27" fillId="5" borderId="10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1" fillId="0" borderId="0" xfId="0" applyFont="1"/>
    <xf numFmtId="0" fontId="42" fillId="0" borderId="0" xfId="1" applyFont="1" applyAlignment="1">
      <alignment horizontal="left" vertical="center"/>
    </xf>
    <xf numFmtId="0" fontId="4" fillId="0" borderId="0" xfId="0" applyFont="1"/>
    <xf numFmtId="0" fontId="24" fillId="7" borderId="11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left" vertical="center"/>
    </xf>
    <xf numFmtId="0" fontId="27" fillId="5" borderId="8" xfId="0" applyFont="1" applyFill="1" applyBorder="1" applyAlignment="1">
      <alignment horizontal="left" vertical="center"/>
    </xf>
    <xf numFmtId="0" fontId="27" fillId="5" borderId="8" xfId="0" applyFont="1" applyFill="1" applyBorder="1" applyAlignment="1">
      <alignment horizontal="left" vertical="center" wrapText="1"/>
    </xf>
    <xf numFmtId="0" fontId="27" fillId="0" borderId="9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7" fillId="0" borderId="10" xfId="0" applyFont="1" applyBorder="1" applyAlignment="1">
      <alignment horizontal="left" vertical="center"/>
    </xf>
    <xf numFmtId="0" fontId="34" fillId="0" borderId="0" xfId="0" applyFont="1" applyAlignment="1">
      <alignment horizontal="center" wrapText="1"/>
    </xf>
    <xf numFmtId="0" fontId="36" fillId="0" borderId="0" xfId="0" applyFont="1" applyAlignment="1">
      <alignment horizontal="center" wrapText="1"/>
    </xf>
    <xf numFmtId="0" fontId="27" fillId="0" borderId="7" xfId="0" applyFont="1" applyBorder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36" fillId="0" borderId="0" xfId="0" applyFont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8" fillId="0" borderId="8" xfId="0" applyFont="1" applyBorder="1" applyAlignment="1">
      <alignment horizontal="center" vertical="center"/>
    </xf>
    <xf numFmtId="0" fontId="28" fillId="5" borderId="8" xfId="0" applyFont="1" applyFill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8" fillId="5" borderId="10" xfId="0" applyFont="1" applyFill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CAAA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jpe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0" Type="http://schemas.microsoft.com/office/2007/relationships/hdphoto" Target="../media/hdphoto1.wdp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jpe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0" Type="http://schemas.microsoft.com/office/2007/relationships/hdphoto" Target="../media/hdphoto1.wdp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jpe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0" Type="http://schemas.microsoft.com/office/2007/relationships/hdphoto" Target="../media/hdphoto1.wdp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537924</xdr:colOff>
      <xdr:row>4</xdr:row>
      <xdr:rowOff>317</xdr:rowOff>
    </xdr:from>
    <xdr:to>
      <xdr:col>2</xdr:col>
      <xdr:colOff>746607</xdr:colOff>
      <xdr:row>4</xdr:row>
      <xdr:rowOff>210206</xdr:rowOff>
    </xdr:to>
    <xdr:sp macro="" textlink="">
      <xdr:nvSpPr>
        <xdr:cNvPr id="2" name="Forma" descr="phone icon">
          <a:extLst>
            <a:ext uri="{FF2B5EF4-FFF2-40B4-BE49-F238E27FC236}">
              <a16:creationId xmlns:a16="http://schemas.microsoft.com/office/drawing/2014/main" id="{DA256C12-330C-4B77-BD2A-1F73D111A092}"/>
            </a:ext>
          </a:extLst>
        </xdr:cNvPr>
        <xdr:cNvSpPr/>
      </xdr:nvSpPr>
      <xdr:spPr>
        <a:xfrm>
          <a:off x="1109424" y="933767"/>
          <a:ext cx="208683" cy="20988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10800" y="0"/>
              </a:moveTo>
              <a:cubicBezTo>
                <a:pt x="4818" y="0"/>
                <a:pt x="0" y="4818"/>
                <a:pt x="0" y="10800"/>
              </a:cubicBezTo>
              <a:cubicBezTo>
                <a:pt x="0" y="16782"/>
                <a:pt x="4818" y="21600"/>
                <a:pt x="10800" y="21600"/>
              </a:cubicBezTo>
              <a:cubicBezTo>
                <a:pt x="16782" y="21600"/>
                <a:pt x="21600" y="16782"/>
                <a:pt x="21600" y="10800"/>
              </a:cubicBezTo>
              <a:cubicBezTo>
                <a:pt x="21600" y="4818"/>
                <a:pt x="16781" y="0"/>
                <a:pt x="10800" y="0"/>
              </a:cubicBezTo>
              <a:close/>
              <a:moveTo>
                <a:pt x="9637" y="18942"/>
              </a:moveTo>
              <a:cubicBezTo>
                <a:pt x="8640" y="18942"/>
                <a:pt x="7809" y="18111"/>
                <a:pt x="7809" y="17114"/>
              </a:cubicBezTo>
              <a:lnTo>
                <a:pt x="7809" y="4486"/>
              </a:lnTo>
              <a:cubicBezTo>
                <a:pt x="7809" y="3489"/>
                <a:pt x="8640" y="2658"/>
                <a:pt x="9637" y="2658"/>
              </a:cubicBezTo>
              <a:lnTo>
                <a:pt x="9637" y="18942"/>
              </a:lnTo>
              <a:close/>
              <a:moveTo>
                <a:pt x="13791" y="17778"/>
              </a:moveTo>
              <a:cubicBezTo>
                <a:pt x="13791" y="18443"/>
                <a:pt x="13292" y="18942"/>
                <a:pt x="12628" y="18942"/>
              </a:cubicBezTo>
              <a:lnTo>
                <a:pt x="10800" y="18942"/>
              </a:lnTo>
              <a:lnTo>
                <a:pt x="10800" y="13625"/>
              </a:lnTo>
              <a:lnTo>
                <a:pt x="12628" y="13625"/>
              </a:lnTo>
              <a:cubicBezTo>
                <a:pt x="13292" y="13625"/>
                <a:pt x="13791" y="14123"/>
                <a:pt x="13791" y="14788"/>
              </a:cubicBezTo>
              <a:lnTo>
                <a:pt x="13791" y="17778"/>
              </a:lnTo>
              <a:close/>
              <a:moveTo>
                <a:pt x="13791" y="6812"/>
              </a:moveTo>
              <a:cubicBezTo>
                <a:pt x="13791" y="7477"/>
                <a:pt x="13292" y="7975"/>
                <a:pt x="12628" y="7975"/>
              </a:cubicBezTo>
              <a:lnTo>
                <a:pt x="10800" y="7975"/>
              </a:lnTo>
              <a:lnTo>
                <a:pt x="10800" y="2658"/>
              </a:lnTo>
              <a:lnTo>
                <a:pt x="12628" y="2658"/>
              </a:lnTo>
              <a:cubicBezTo>
                <a:pt x="13292" y="2658"/>
                <a:pt x="13791" y="3157"/>
                <a:pt x="13791" y="3822"/>
              </a:cubicBezTo>
              <a:lnTo>
                <a:pt x="13791" y="6812"/>
              </a:lnTo>
              <a:close/>
            </a:path>
          </a:pathLst>
        </a:custGeom>
        <a:solidFill>
          <a:schemeClr val="tx1">
            <a:lumMod val="65000"/>
            <a:lumOff val="35000"/>
          </a:schemeClr>
        </a:solidFill>
        <a:ln w="12700">
          <a:miter lim="400000"/>
        </a:ln>
      </xdr:spPr>
      <xdr:txBody>
        <a:bodyPr wrap="square" lIns="38100" tIns="38100" rIns="38100" bIns="38100" anchor="ctr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S"/>
        </a:p>
      </xdr:txBody>
    </xdr:sp>
    <xdr:clientData/>
  </xdr:twoCellAnchor>
  <xdr:twoCellAnchor>
    <xdr:from>
      <xdr:col>2</xdr:col>
      <xdr:colOff>527436</xdr:colOff>
      <xdr:row>5</xdr:row>
      <xdr:rowOff>5016</xdr:rowOff>
    </xdr:from>
    <xdr:to>
      <xdr:col>2</xdr:col>
      <xdr:colOff>741444</xdr:colOff>
      <xdr:row>5</xdr:row>
      <xdr:rowOff>220059</xdr:rowOff>
    </xdr:to>
    <xdr:sp macro="" textlink="">
      <xdr:nvSpPr>
        <xdr:cNvPr id="3" name="Forma" descr="email icon">
          <a:extLst>
            <a:ext uri="{FF2B5EF4-FFF2-40B4-BE49-F238E27FC236}">
              <a16:creationId xmlns:a16="http://schemas.microsoft.com/office/drawing/2014/main" id="{220DDF92-3736-4301-8743-6968ED894645}"/>
            </a:ext>
          </a:extLst>
        </xdr:cNvPr>
        <xdr:cNvSpPr/>
      </xdr:nvSpPr>
      <xdr:spPr>
        <a:xfrm>
          <a:off x="1098936" y="1167066"/>
          <a:ext cx="214008" cy="215043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14123" y="7145"/>
              </a:moveTo>
              <a:lnTo>
                <a:pt x="7311" y="7145"/>
              </a:lnTo>
              <a:lnTo>
                <a:pt x="10634" y="9803"/>
              </a:lnTo>
              <a:lnTo>
                <a:pt x="14123" y="7145"/>
              </a:lnTo>
              <a:close/>
              <a:moveTo>
                <a:pt x="10800" y="0"/>
              </a:moveTo>
              <a:cubicBezTo>
                <a:pt x="4818" y="0"/>
                <a:pt x="0" y="4818"/>
                <a:pt x="0" y="10800"/>
              </a:cubicBezTo>
              <a:cubicBezTo>
                <a:pt x="0" y="16782"/>
                <a:pt x="4818" y="21600"/>
                <a:pt x="10800" y="21600"/>
              </a:cubicBezTo>
              <a:cubicBezTo>
                <a:pt x="16782" y="21600"/>
                <a:pt x="21600" y="16782"/>
                <a:pt x="21600" y="10800"/>
              </a:cubicBezTo>
              <a:cubicBezTo>
                <a:pt x="21600" y="4818"/>
                <a:pt x="16781" y="0"/>
                <a:pt x="10800" y="0"/>
              </a:cubicBezTo>
              <a:close/>
              <a:moveTo>
                <a:pt x="17446" y="14123"/>
              </a:moveTo>
              <a:cubicBezTo>
                <a:pt x="17446" y="15286"/>
                <a:pt x="16449" y="16283"/>
                <a:pt x="15286" y="16283"/>
              </a:cubicBezTo>
              <a:lnTo>
                <a:pt x="6480" y="16283"/>
              </a:lnTo>
              <a:cubicBezTo>
                <a:pt x="5317" y="16283"/>
                <a:pt x="4320" y="15286"/>
                <a:pt x="4320" y="14123"/>
              </a:cubicBezTo>
              <a:lnTo>
                <a:pt x="4320" y="7643"/>
              </a:lnTo>
              <a:cubicBezTo>
                <a:pt x="4320" y="6480"/>
                <a:pt x="5317" y="5483"/>
                <a:pt x="6480" y="5483"/>
              </a:cubicBezTo>
              <a:lnTo>
                <a:pt x="15286" y="5483"/>
              </a:lnTo>
              <a:cubicBezTo>
                <a:pt x="16449" y="5483"/>
                <a:pt x="17446" y="6480"/>
                <a:pt x="17446" y="7643"/>
              </a:cubicBezTo>
              <a:lnTo>
                <a:pt x="17446" y="14123"/>
              </a:lnTo>
              <a:close/>
              <a:moveTo>
                <a:pt x="5815" y="7975"/>
              </a:moveTo>
              <a:lnTo>
                <a:pt x="5815" y="14123"/>
              </a:lnTo>
              <a:cubicBezTo>
                <a:pt x="5815" y="14455"/>
                <a:pt x="5982" y="14622"/>
                <a:pt x="6314" y="14622"/>
              </a:cubicBezTo>
              <a:lnTo>
                <a:pt x="15120" y="14622"/>
              </a:lnTo>
              <a:cubicBezTo>
                <a:pt x="15452" y="14622"/>
                <a:pt x="15618" y="14455"/>
                <a:pt x="15618" y="14123"/>
              </a:cubicBezTo>
              <a:lnTo>
                <a:pt x="15618" y="7975"/>
              </a:lnTo>
              <a:lnTo>
                <a:pt x="10634" y="11963"/>
              </a:lnTo>
              <a:lnTo>
                <a:pt x="5815" y="7975"/>
              </a:lnTo>
              <a:close/>
            </a:path>
          </a:pathLst>
        </a:custGeom>
        <a:solidFill>
          <a:schemeClr val="tx1">
            <a:lumMod val="65000"/>
            <a:lumOff val="35000"/>
          </a:schemeClr>
        </a:solidFill>
        <a:ln w="12700">
          <a:miter lim="400000"/>
        </a:ln>
      </xdr:spPr>
      <xdr:txBody>
        <a:bodyPr wrap="square" lIns="38100" tIns="38100" rIns="38100" bIns="38100" anchor="ctr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S"/>
        </a:p>
      </xdr:txBody>
    </xdr:sp>
    <xdr:clientData/>
  </xdr:twoCellAnchor>
  <xdr:twoCellAnchor>
    <xdr:from>
      <xdr:col>2</xdr:col>
      <xdr:colOff>532878</xdr:colOff>
      <xdr:row>2</xdr:row>
      <xdr:rowOff>189631</xdr:rowOff>
    </xdr:from>
    <xdr:to>
      <xdr:col>2</xdr:col>
      <xdr:colOff>752105</xdr:colOff>
      <xdr:row>3</xdr:row>
      <xdr:rowOff>210207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6637695C-8798-4E4F-BB6C-7F402E720D77}"/>
            </a:ext>
          </a:extLst>
        </xdr:cNvPr>
        <xdr:cNvGrpSpPr/>
      </xdr:nvGrpSpPr>
      <xdr:grpSpPr>
        <a:xfrm>
          <a:off x="1104378" y="694456"/>
          <a:ext cx="219227" cy="220601"/>
          <a:chOff x="1123950" y="676275"/>
          <a:chExt cx="227164" cy="228600"/>
        </a:xfrm>
      </xdr:grpSpPr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EA971270-BEEF-C380-D502-7C83085249A7}"/>
              </a:ext>
            </a:extLst>
          </xdr:cNvPr>
          <xdr:cNvSpPr/>
        </xdr:nvSpPr>
        <xdr:spPr>
          <a:xfrm>
            <a:off x="1123950" y="676275"/>
            <a:ext cx="227164" cy="228600"/>
          </a:xfrm>
          <a:prstGeom prst="ellipse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ES"/>
          </a:p>
        </xdr:txBody>
      </xdr:sp>
      <xdr:sp macro="" textlink="">
        <xdr:nvSpPr>
          <xdr:cNvPr id="6" name="Forma" descr="GPS icon">
            <a:extLst>
              <a:ext uri="{FF2B5EF4-FFF2-40B4-BE49-F238E27FC236}">
                <a16:creationId xmlns:a16="http://schemas.microsoft.com/office/drawing/2014/main" id="{FB5A0E07-F4B9-13DA-FDAD-B201CF5EF70C}"/>
              </a:ext>
            </a:extLst>
          </xdr:cNvPr>
          <xdr:cNvSpPr/>
        </xdr:nvSpPr>
        <xdr:spPr>
          <a:xfrm>
            <a:off x="1174206" y="709613"/>
            <a:ext cx="133753" cy="17461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10800" y="0"/>
                </a:moveTo>
                <a:cubicBezTo>
                  <a:pt x="4780" y="0"/>
                  <a:pt x="0" y="3668"/>
                  <a:pt x="0" y="8287"/>
                </a:cubicBezTo>
                <a:cubicBezTo>
                  <a:pt x="0" y="12906"/>
                  <a:pt x="10800" y="21600"/>
                  <a:pt x="10800" y="21600"/>
                </a:cubicBezTo>
                <a:cubicBezTo>
                  <a:pt x="10800" y="21600"/>
                  <a:pt x="21600" y="12906"/>
                  <a:pt x="21600" y="8287"/>
                </a:cubicBezTo>
                <a:cubicBezTo>
                  <a:pt x="21600" y="3668"/>
                  <a:pt x="16820" y="0"/>
                  <a:pt x="10800" y="0"/>
                </a:cubicBezTo>
                <a:close/>
                <a:moveTo>
                  <a:pt x="10800" y="11819"/>
                </a:moveTo>
                <a:cubicBezTo>
                  <a:pt x="8144" y="11819"/>
                  <a:pt x="5843" y="10189"/>
                  <a:pt x="5843" y="8015"/>
                </a:cubicBezTo>
                <a:cubicBezTo>
                  <a:pt x="5843" y="5977"/>
                  <a:pt x="7967" y="4211"/>
                  <a:pt x="10800" y="4211"/>
                </a:cubicBezTo>
                <a:cubicBezTo>
                  <a:pt x="13456" y="4211"/>
                  <a:pt x="15757" y="5841"/>
                  <a:pt x="15757" y="8015"/>
                </a:cubicBezTo>
                <a:cubicBezTo>
                  <a:pt x="15757" y="10053"/>
                  <a:pt x="13456" y="11819"/>
                  <a:pt x="10800" y="11819"/>
                </a:cubicBezTo>
                <a:close/>
              </a:path>
            </a:pathLst>
          </a:custGeom>
          <a:solidFill>
            <a:schemeClr val="bg1">
              <a:lumMod val="95000"/>
            </a:schemeClr>
          </a:solidFill>
          <a:ln w="12700">
            <a:miter lim="400000"/>
          </a:ln>
        </xdr:spPr>
        <xdr:txBody>
          <a:bodyPr wrap="square" lIns="38100" tIns="38100" rIns="38100" bIns="38100" anchor="b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ES"/>
          </a:p>
        </xdr:txBody>
      </xdr:sp>
    </xdr:grpSp>
    <xdr:clientData/>
  </xdr:twoCellAnchor>
  <xdr:twoCellAnchor editAs="oneCell">
    <xdr:from>
      <xdr:col>4</xdr:col>
      <xdr:colOff>293370</xdr:colOff>
      <xdr:row>13</xdr:row>
      <xdr:rowOff>6910</xdr:rowOff>
    </xdr:from>
    <xdr:to>
      <xdr:col>5</xdr:col>
      <xdr:colOff>5473</xdr:colOff>
      <xdr:row>13</xdr:row>
      <xdr:rowOff>214313</xdr:rowOff>
    </xdr:to>
    <xdr:pic>
      <xdr:nvPicPr>
        <xdr:cNvPr id="7" name="Gráfico 1">
          <a:extLst>
            <a:ext uri="{FF2B5EF4-FFF2-40B4-BE49-F238E27FC236}">
              <a16:creationId xmlns:a16="http://schemas.microsoft.com/office/drawing/2014/main" id="{CE8B01B8-08EA-49AF-AC71-F31607CFE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69995" y="2873935"/>
          <a:ext cx="207403" cy="207403"/>
        </a:xfrm>
        <a:prstGeom prst="rect">
          <a:avLst/>
        </a:prstGeom>
      </xdr:spPr>
    </xdr:pic>
    <xdr:clientData/>
  </xdr:twoCellAnchor>
  <xdr:twoCellAnchor editAs="oneCell">
    <xdr:from>
      <xdr:col>4</xdr:col>
      <xdr:colOff>296231</xdr:colOff>
      <xdr:row>15</xdr:row>
      <xdr:rowOff>22860</xdr:rowOff>
    </xdr:from>
    <xdr:to>
      <xdr:col>5</xdr:col>
      <xdr:colOff>1238</xdr:colOff>
      <xdr:row>15</xdr:row>
      <xdr:rowOff>218124</xdr:rowOff>
    </xdr:to>
    <xdr:pic>
      <xdr:nvPicPr>
        <xdr:cNvPr id="8" name="Gráfico 2">
          <a:extLst>
            <a:ext uri="{FF2B5EF4-FFF2-40B4-BE49-F238E27FC236}">
              <a16:creationId xmlns:a16="http://schemas.microsoft.com/office/drawing/2014/main" id="{7668BAFF-0B21-4750-BE87-9F0B97A76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72856" y="3347085"/>
          <a:ext cx="195264" cy="195264"/>
        </a:xfrm>
        <a:prstGeom prst="rect">
          <a:avLst/>
        </a:prstGeom>
      </xdr:spPr>
    </xdr:pic>
    <xdr:clientData/>
  </xdr:twoCellAnchor>
  <xdr:twoCellAnchor editAs="oneCell">
    <xdr:from>
      <xdr:col>4</xdr:col>
      <xdr:colOff>291468</xdr:colOff>
      <xdr:row>14</xdr:row>
      <xdr:rowOff>15239</xdr:rowOff>
    </xdr:from>
    <xdr:to>
      <xdr:col>5</xdr:col>
      <xdr:colOff>3</xdr:colOff>
      <xdr:row>14</xdr:row>
      <xdr:rowOff>219074</xdr:rowOff>
    </xdr:to>
    <xdr:pic>
      <xdr:nvPicPr>
        <xdr:cNvPr id="9" name="Gráfico 3">
          <a:extLst>
            <a:ext uri="{FF2B5EF4-FFF2-40B4-BE49-F238E27FC236}">
              <a16:creationId xmlns:a16="http://schemas.microsoft.com/office/drawing/2014/main" id="{8AF1508F-0A36-4724-906C-DCB968567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68093" y="3110864"/>
          <a:ext cx="203835" cy="203835"/>
        </a:xfrm>
        <a:prstGeom prst="rect">
          <a:avLst/>
        </a:prstGeom>
      </xdr:spPr>
    </xdr:pic>
    <xdr:clientData/>
  </xdr:twoCellAnchor>
  <xdr:twoCellAnchor editAs="oneCell">
    <xdr:from>
      <xdr:col>4</xdr:col>
      <xdr:colOff>299085</xdr:colOff>
      <xdr:row>16</xdr:row>
      <xdr:rowOff>19050</xdr:rowOff>
    </xdr:from>
    <xdr:to>
      <xdr:col>5</xdr:col>
      <xdr:colOff>3138</xdr:colOff>
      <xdr:row>16</xdr:row>
      <xdr:rowOff>213360</xdr:rowOff>
    </xdr:to>
    <xdr:pic>
      <xdr:nvPicPr>
        <xdr:cNvPr id="10" name="Gráfico 4">
          <a:extLst>
            <a:ext uri="{FF2B5EF4-FFF2-40B4-BE49-F238E27FC236}">
              <a16:creationId xmlns:a16="http://schemas.microsoft.com/office/drawing/2014/main" id="{24EC4D41-2CDC-4F47-BD07-9C22C07D3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75710" y="3571875"/>
          <a:ext cx="194310" cy="194310"/>
        </a:xfrm>
        <a:prstGeom prst="rect">
          <a:avLst/>
        </a:prstGeom>
      </xdr:spPr>
    </xdr:pic>
    <xdr:clientData/>
  </xdr:twoCellAnchor>
  <xdr:twoCellAnchor editAs="oneCell">
    <xdr:from>
      <xdr:col>0</xdr:col>
      <xdr:colOff>125404</xdr:colOff>
      <xdr:row>2</xdr:row>
      <xdr:rowOff>137380</xdr:rowOff>
    </xdr:from>
    <xdr:to>
      <xdr:col>2</xdr:col>
      <xdr:colOff>406780</xdr:colOff>
      <xdr:row>6</xdr:row>
      <xdr:rowOff>163750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0293741-A365-49AF-BA86-362747EEC7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7143" b="89286" l="29000" r="71667">
                      <a14:foregroundMark x1="32000" y1="79762" x2="32000" y2="79762"/>
                      <a14:foregroundMark x1="35333" y1="79167" x2="35333" y2="79167"/>
                      <a14:foregroundMark x1="38333" y1="79167" x2="38333" y2="79167"/>
                      <a14:foregroundMark x1="43333" y1="78571" x2="43333" y2="78571"/>
                      <a14:foregroundMark x1="48000" y1="79167" x2="48000" y2="79167"/>
                      <a14:foregroundMark x1="63000" y1="65476" x2="63000" y2="65476"/>
                      <a14:foregroundMark x1="68000" y1="79762" x2="68000" y2="79762"/>
                      <a14:foregroundMark x1="64333" y1="79762" x2="64333" y2="79762"/>
                      <a14:backgroundMark x1="44000" y1="29762" x2="44000" y2="29762"/>
                      <a14:backgroundMark x1="59000" y1="31548" x2="59000" y2="31548"/>
                      <a14:backgroundMark x1="38667" y1="23214" x2="38667" y2="23214"/>
                      <a14:backgroundMark x1="64333" y1="32143" x2="64333" y2="32143"/>
                      <a14:backgroundMark x1="34333" y1="47024" x2="34333" y2="47024"/>
                      <a14:backgroundMark x1="56000" y1="67857" x2="56000" y2="67857"/>
                      <a14:backgroundMark x1="59333" y1="21429" x2="59333" y2="21429"/>
                      <a14:backgroundMark x1="58333" y1="73214" x2="58333" y2="7321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666" t="7739" r="29001" b="12499"/>
        <a:stretch/>
      </xdr:blipFill>
      <xdr:spPr>
        <a:xfrm>
          <a:off x="125404" y="642205"/>
          <a:ext cx="852876" cy="912195"/>
        </a:xfrm>
        <a:prstGeom prst="rect">
          <a:avLst/>
        </a:prstGeom>
      </xdr:spPr>
    </xdr:pic>
    <xdr:clientData/>
  </xdr:twoCellAnchor>
  <xdr:twoCellAnchor>
    <xdr:from>
      <xdr:col>2</xdr:col>
      <xdr:colOff>696057</xdr:colOff>
      <xdr:row>39</xdr:row>
      <xdr:rowOff>21982</xdr:rowOff>
    </xdr:from>
    <xdr:to>
      <xdr:col>3</xdr:col>
      <xdr:colOff>808574</xdr:colOff>
      <xdr:row>41</xdr:row>
      <xdr:rowOff>167433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3A96213B-716B-4B45-926A-B2891D4DDA9F}"/>
            </a:ext>
          </a:extLst>
        </xdr:cNvPr>
        <xdr:cNvGrpSpPr/>
      </xdr:nvGrpSpPr>
      <xdr:grpSpPr>
        <a:xfrm>
          <a:off x="1267557" y="8899282"/>
          <a:ext cx="893567" cy="640751"/>
          <a:chOff x="8274953" y="5885484"/>
          <a:chExt cx="669120" cy="289365"/>
        </a:xfrm>
      </xdr:grpSpPr>
      <xdr:pic>
        <xdr:nvPicPr>
          <xdr:cNvPr id="13" name="Imagen 12" descr="Logo de BBVA: la historia y el significado del logotipo, la marca y el  símbolo. | png, vector">
            <a:extLst>
              <a:ext uri="{FF2B5EF4-FFF2-40B4-BE49-F238E27FC236}">
                <a16:creationId xmlns:a16="http://schemas.microsoft.com/office/drawing/2014/main" id="{64C65B19-05E5-D217-D711-29CFC4E96312}"/>
              </a:ext>
            </a:extLst>
          </xdr:cNvPr>
          <xdr:cNvPicPr/>
        </xdr:nvPicPr>
        <xdr:blipFill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21951"/>
          <a:stretch/>
        </xdr:blipFill>
        <xdr:spPr bwMode="auto">
          <a:xfrm>
            <a:off x="8671215" y="5885484"/>
            <a:ext cx="272858" cy="150394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4" name="Imagen 13" descr="Microsoft Customer Story-Interbank incrementa el uso de Microsoft 365 con  creativas metodologías de adopción">
            <a:extLst>
              <a:ext uri="{FF2B5EF4-FFF2-40B4-BE49-F238E27FC236}">
                <a16:creationId xmlns:a16="http://schemas.microsoft.com/office/drawing/2014/main" id="{8DA23854-2A85-16FD-A010-FCD39433A6E6}"/>
              </a:ext>
            </a:extLst>
          </xdr:cNvPr>
          <xdr:cNvPicPr/>
        </xdr:nvPicPr>
        <xdr:blipFill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532" t="40650" r="4270" b="41646"/>
          <a:stretch/>
        </xdr:blipFill>
        <xdr:spPr bwMode="auto">
          <a:xfrm>
            <a:off x="8343877" y="6049520"/>
            <a:ext cx="552307" cy="125329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E38A4F42-3B51-717D-5B1A-D3536E2A345E}"/>
              </a:ext>
            </a:extLst>
          </xdr:cNvPr>
          <xdr:cNvPicPr/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8274953" y="5930835"/>
            <a:ext cx="314111" cy="106565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1311521</xdr:colOff>
      <xdr:row>38</xdr:row>
      <xdr:rowOff>14652</xdr:rowOff>
    </xdr:from>
    <xdr:to>
      <xdr:col>5</xdr:col>
      <xdr:colOff>468925</xdr:colOff>
      <xdr:row>42</xdr:row>
      <xdr:rowOff>109903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5E07D79E-D047-4D5A-9335-9BFAB69EF237}"/>
            </a:ext>
          </a:extLst>
        </xdr:cNvPr>
        <xdr:cNvSpPr txBox="1"/>
      </xdr:nvSpPr>
      <xdr:spPr>
        <a:xfrm>
          <a:off x="2664071" y="8644302"/>
          <a:ext cx="1776779" cy="10858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0">
              <a:solidFill>
                <a:sysClr val="windowText" lastClr="000000"/>
              </a:solidFill>
            </a:rPr>
            <a:t>CONDICIONE</a:t>
          </a:r>
          <a:r>
            <a:rPr lang="en-US" sz="900" b="0" baseline="0">
              <a:solidFill>
                <a:sysClr val="windowText" lastClr="000000"/>
              </a:solidFill>
            </a:rPr>
            <a:t>S DE VENTA:</a:t>
          </a:r>
        </a:p>
        <a:p>
          <a:pPr algn="ctr"/>
          <a:r>
            <a:rPr lang="en-US" sz="900" baseline="0">
              <a:solidFill>
                <a:sysClr val="windowText" lastClr="000000"/>
              </a:solidFill>
            </a:rPr>
            <a:t>- LOS PRECIOS INCLUYEN IGV</a:t>
          </a:r>
        </a:p>
        <a:p>
          <a:pPr algn="ctr"/>
          <a:r>
            <a:rPr lang="en-US" sz="900" baseline="0">
              <a:solidFill>
                <a:sysClr val="windowText" lastClr="000000"/>
              </a:solidFill>
            </a:rPr>
            <a:t>- FORMATO DE PAGO: CONTADO/TRANSFERENCIA </a:t>
          </a:r>
        </a:p>
        <a:p>
          <a:pPr algn="ctr"/>
          <a:r>
            <a:rPr lang="en-US" sz="900" baseline="0">
              <a:solidFill>
                <a:sysClr val="windowText" lastClr="000000"/>
              </a:solidFill>
            </a:rPr>
            <a:t>- EMITIMOS BOLETA Y FACTURA</a:t>
          </a:r>
        </a:p>
        <a:p>
          <a:pPr algn="ctr"/>
          <a:r>
            <a:rPr lang="en-US" sz="900" baseline="0">
              <a:solidFill>
                <a:sysClr val="windowText" lastClr="000000"/>
              </a:solidFill>
            </a:rPr>
            <a:t>- GARANTIA UN AÑO</a:t>
          </a:r>
        </a:p>
        <a:p>
          <a:pPr algn="ctr"/>
          <a:r>
            <a:rPr lang="en-US" sz="900" baseline="0">
              <a:solidFill>
                <a:sysClr val="windowText" lastClr="000000"/>
              </a:solidFill>
            </a:rPr>
            <a:t>- INCLUYE INSTALACION 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537924</xdr:colOff>
      <xdr:row>4</xdr:row>
      <xdr:rowOff>317</xdr:rowOff>
    </xdr:from>
    <xdr:to>
      <xdr:col>2</xdr:col>
      <xdr:colOff>746607</xdr:colOff>
      <xdr:row>4</xdr:row>
      <xdr:rowOff>210206</xdr:rowOff>
    </xdr:to>
    <xdr:sp macro="" textlink="">
      <xdr:nvSpPr>
        <xdr:cNvPr id="2" name="Forma" descr="phone ic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9424" y="933767"/>
          <a:ext cx="208683" cy="20988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10800" y="0"/>
              </a:moveTo>
              <a:cubicBezTo>
                <a:pt x="4818" y="0"/>
                <a:pt x="0" y="4818"/>
                <a:pt x="0" y="10800"/>
              </a:cubicBezTo>
              <a:cubicBezTo>
                <a:pt x="0" y="16782"/>
                <a:pt x="4818" y="21600"/>
                <a:pt x="10800" y="21600"/>
              </a:cubicBezTo>
              <a:cubicBezTo>
                <a:pt x="16782" y="21600"/>
                <a:pt x="21600" y="16782"/>
                <a:pt x="21600" y="10800"/>
              </a:cubicBezTo>
              <a:cubicBezTo>
                <a:pt x="21600" y="4818"/>
                <a:pt x="16781" y="0"/>
                <a:pt x="10800" y="0"/>
              </a:cubicBezTo>
              <a:close/>
              <a:moveTo>
                <a:pt x="9637" y="18942"/>
              </a:moveTo>
              <a:cubicBezTo>
                <a:pt x="8640" y="18942"/>
                <a:pt x="7809" y="18111"/>
                <a:pt x="7809" y="17114"/>
              </a:cubicBezTo>
              <a:lnTo>
                <a:pt x="7809" y="4486"/>
              </a:lnTo>
              <a:cubicBezTo>
                <a:pt x="7809" y="3489"/>
                <a:pt x="8640" y="2658"/>
                <a:pt x="9637" y="2658"/>
              </a:cubicBezTo>
              <a:lnTo>
                <a:pt x="9637" y="18942"/>
              </a:lnTo>
              <a:close/>
              <a:moveTo>
                <a:pt x="13791" y="17778"/>
              </a:moveTo>
              <a:cubicBezTo>
                <a:pt x="13791" y="18443"/>
                <a:pt x="13292" y="18942"/>
                <a:pt x="12628" y="18942"/>
              </a:cubicBezTo>
              <a:lnTo>
                <a:pt x="10800" y="18942"/>
              </a:lnTo>
              <a:lnTo>
                <a:pt x="10800" y="13625"/>
              </a:lnTo>
              <a:lnTo>
                <a:pt x="12628" y="13625"/>
              </a:lnTo>
              <a:cubicBezTo>
                <a:pt x="13292" y="13625"/>
                <a:pt x="13791" y="14123"/>
                <a:pt x="13791" y="14788"/>
              </a:cubicBezTo>
              <a:lnTo>
                <a:pt x="13791" y="17778"/>
              </a:lnTo>
              <a:close/>
              <a:moveTo>
                <a:pt x="13791" y="6812"/>
              </a:moveTo>
              <a:cubicBezTo>
                <a:pt x="13791" y="7477"/>
                <a:pt x="13292" y="7975"/>
                <a:pt x="12628" y="7975"/>
              </a:cubicBezTo>
              <a:lnTo>
                <a:pt x="10800" y="7975"/>
              </a:lnTo>
              <a:lnTo>
                <a:pt x="10800" y="2658"/>
              </a:lnTo>
              <a:lnTo>
                <a:pt x="12628" y="2658"/>
              </a:lnTo>
              <a:cubicBezTo>
                <a:pt x="13292" y="2658"/>
                <a:pt x="13791" y="3157"/>
                <a:pt x="13791" y="3822"/>
              </a:cubicBezTo>
              <a:lnTo>
                <a:pt x="13791" y="6812"/>
              </a:lnTo>
              <a:close/>
            </a:path>
          </a:pathLst>
        </a:custGeom>
        <a:solidFill>
          <a:schemeClr val="tx1">
            <a:lumMod val="65000"/>
            <a:lumOff val="35000"/>
          </a:schemeClr>
        </a:solidFill>
        <a:ln w="12700">
          <a:miter lim="400000"/>
        </a:ln>
      </xdr:spPr>
      <xdr:txBody>
        <a:bodyPr wrap="square" lIns="38100" tIns="38100" rIns="38100" bIns="38100" anchor="ctr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S"/>
        </a:p>
      </xdr:txBody>
    </xdr:sp>
    <xdr:clientData/>
  </xdr:twoCellAnchor>
  <xdr:twoCellAnchor>
    <xdr:from>
      <xdr:col>2</xdr:col>
      <xdr:colOff>527436</xdr:colOff>
      <xdr:row>5</xdr:row>
      <xdr:rowOff>5016</xdr:rowOff>
    </xdr:from>
    <xdr:to>
      <xdr:col>2</xdr:col>
      <xdr:colOff>741444</xdr:colOff>
      <xdr:row>5</xdr:row>
      <xdr:rowOff>220059</xdr:rowOff>
    </xdr:to>
    <xdr:sp macro="" textlink="">
      <xdr:nvSpPr>
        <xdr:cNvPr id="3" name="Forma" descr="email ico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98936" y="1167066"/>
          <a:ext cx="214008" cy="215043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14123" y="7145"/>
              </a:moveTo>
              <a:lnTo>
                <a:pt x="7311" y="7145"/>
              </a:lnTo>
              <a:lnTo>
                <a:pt x="10634" y="9803"/>
              </a:lnTo>
              <a:lnTo>
                <a:pt x="14123" y="7145"/>
              </a:lnTo>
              <a:close/>
              <a:moveTo>
                <a:pt x="10800" y="0"/>
              </a:moveTo>
              <a:cubicBezTo>
                <a:pt x="4818" y="0"/>
                <a:pt x="0" y="4818"/>
                <a:pt x="0" y="10800"/>
              </a:cubicBezTo>
              <a:cubicBezTo>
                <a:pt x="0" y="16782"/>
                <a:pt x="4818" y="21600"/>
                <a:pt x="10800" y="21600"/>
              </a:cubicBezTo>
              <a:cubicBezTo>
                <a:pt x="16782" y="21600"/>
                <a:pt x="21600" y="16782"/>
                <a:pt x="21600" y="10800"/>
              </a:cubicBezTo>
              <a:cubicBezTo>
                <a:pt x="21600" y="4818"/>
                <a:pt x="16781" y="0"/>
                <a:pt x="10800" y="0"/>
              </a:cubicBezTo>
              <a:close/>
              <a:moveTo>
                <a:pt x="17446" y="14123"/>
              </a:moveTo>
              <a:cubicBezTo>
                <a:pt x="17446" y="15286"/>
                <a:pt x="16449" y="16283"/>
                <a:pt x="15286" y="16283"/>
              </a:cubicBezTo>
              <a:lnTo>
                <a:pt x="6480" y="16283"/>
              </a:lnTo>
              <a:cubicBezTo>
                <a:pt x="5317" y="16283"/>
                <a:pt x="4320" y="15286"/>
                <a:pt x="4320" y="14123"/>
              </a:cubicBezTo>
              <a:lnTo>
                <a:pt x="4320" y="7643"/>
              </a:lnTo>
              <a:cubicBezTo>
                <a:pt x="4320" y="6480"/>
                <a:pt x="5317" y="5483"/>
                <a:pt x="6480" y="5483"/>
              </a:cubicBezTo>
              <a:lnTo>
                <a:pt x="15286" y="5483"/>
              </a:lnTo>
              <a:cubicBezTo>
                <a:pt x="16449" y="5483"/>
                <a:pt x="17446" y="6480"/>
                <a:pt x="17446" y="7643"/>
              </a:cubicBezTo>
              <a:lnTo>
                <a:pt x="17446" y="14123"/>
              </a:lnTo>
              <a:close/>
              <a:moveTo>
                <a:pt x="5815" y="7975"/>
              </a:moveTo>
              <a:lnTo>
                <a:pt x="5815" y="14123"/>
              </a:lnTo>
              <a:cubicBezTo>
                <a:pt x="5815" y="14455"/>
                <a:pt x="5982" y="14622"/>
                <a:pt x="6314" y="14622"/>
              </a:cubicBezTo>
              <a:lnTo>
                <a:pt x="15120" y="14622"/>
              </a:lnTo>
              <a:cubicBezTo>
                <a:pt x="15452" y="14622"/>
                <a:pt x="15618" y="14455"/>
                <a:pt x="15618" y="14123"/>
              </a:cubicBezTo>
              <a:lnTo>
                <a:pt x="15618" y="7975"/>
              </a:lnTo>
              <a:lnTo>
                <a:pt x="10634" y="11963"/>
              </a:lnTo>
              <a:lnTo>
                <a:pt x="5815" y="7975"/>
              </a:lnTo>
              <a:close/>
            </a:path>
          </a:pathLst>
        </a:custGeom>
        <a:solidFill>
          <a:schemeClr val="tx1">
            <a:lumMod val="65000"/>
            <a:lumOff val="35000"/>
          </a:schemeClr>
        </a:solidFill>
        <a:ln w="12700">
          <a:miter lim="400000"/>
        </a:ln>
      </xdr:spPr>
      <xdr:txBody>
        <a:bodyPr wrap="square" lIns="38100" tIns="38100" rIns="38100" bIns="38100" anchor="ctr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S"/>
        </a:p>
      </xdr:txBody>
    </xdr:sp>
    <xdr:clientData/>
  </xdr:twoCellAnchor>
  <xdr:twoCellAnchor>
    <xdr:from>
      <xdr:col>2</xdr:col>
      <xdr:colOff>532878</xdr:colOff>
      <xdr:row>2</xdr:row>
      <xdr:rowOff>189631</xdr:rowOff>
    </xdr:from>
    <xdr:to>
      <xdr:col>2</xdr:col>
      <xdr:colOff>752105</xdr:colOff>
      <xdr:row>3</xdr:row>
      <xdr:rowOff>210207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104378" y="695189"/>
          <a:ext cx="219227" cy="218403"/>
          <a:chOff x="1123950" y="676275"/>
          <a:chExt cx="227164" cy="228600"/>
        </a:xfrm>
      </xdr:grpSpPr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23950" y="676275"/>
            <a:ext cx="227164" cy="228600"/>
          </a:xfrm>
          <a:prstGeom prst="ellipse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ES"/>
          </a:p>
        </xdr:txBody>
      </xdr:sp>
      <xdr:sp macro="" textlink="">
        <xdr:nvSpPr>
          <xdr:cNvPr id="6" name="Forma" descr="GPS icon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174206" y="709613"/>
            <a:ext cx="133753" cy="17461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10800" y="0"/>
                </a:moveTo>
                <a:cubicBezTo>
                  <a:pt x="4780" y="0"/>
                  <a:pt x="0" y="3668"/>
                  <a:pt x="0" y="8287"/>
                </a:cubicBezTo>
                <a:cubicBezTo>
                  <a:pt x="0" y="12906"/>
                  <a:pt x="10800" y="21600"/>
                  <a:pt x="10800" y="21600"/>
                </a:cubicBezTo>
                <a:cubicBezTo>
                  <a:pt x="10800" y="21600"/>
                  <a:pt x="21600" y="12906"/>
                  <a:pt x="21600" y="8287"/>
                </a:cubicBezTo>
                <a:cubicBezTo>
                  <a:pt x="21600" y="3668"/>
                  <a:pt x="16820" y="0"/>
                  <a:pt x="10800" y="0"/>
                </a:cubicBezTo>
                <a:close/>
                <a:moveTo>
                  <a:pt x="10800" y="11819"/>
                </a:moveTo>
                <a:cubicBezTo>
                  <a:pt x="8144" y="11819"/>
                  <a:pt x="5843" y="10189"/>
                  <a:pt x="5843" y="8015"/>
                </a:cubicBezTo>
                <a:cubicBezTo>
                  <a:pt x="5843" y="5977"/>
                  <a:pt x="7967" y="4211"/>
                  <a:pt x="10800" y="4211"/>
                </a:cubicBezTo>
                <a:cubicBezTo>
                  <a:pt x="13456" y="4211"/>
                  <a:pt x="15757" y="5841"/>
                  <a:pt x="15757" y="8015"/>
                </a:cubicBezTo>
                <a:cubicBezTo>
                  <a:pt x="15757" y="10053"/>
                  <a:pt x="13456" y="11819"/>
                  <a:pt x="10800" y="11819"/>
                </a:cubicBezTo>
                <a:close/>
              </a:path>
            </a:pathLst>
          </a:custGeom>
          <a:solidFill>
            <a:schemeClr val="bg1">
              <a:lumMod val="95000"/>
            </a:schemeClr>
          </a:solidFill>
          <a:ln w="12700">
            <a:miter lim="400000"/>
          </a:ln>
        </xdr:spPr>
        <xdr:txBody>
          <a:bodyPr wrap="square" lIns="38100" tIns="38100" rIns="38100" bIns="38100" anchor="b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ES"/>
          </a:p>
        </xdr:txBody>
      </xdr:sp>
    </xdr:grpSp>
    <xdr:clientData/>
  </xdr:twoCellAnchor>
  <xdr:twoCellAnchor editAs="oneCell">
    <xdr:from>
      <xdr:col>4</xdr:col>
      <xdr:colOff>293370</xdr:colOff>
      <xdr:row>13</xdr:row>
      <xdr:rowOff>6910</xdr:rowOff>
    </xdr:from>
    <xdr:to>
      <xdr:col>5</xdr:col>
      <xdr:colOff>5473</xdr:colOff>
      <xdr:row>13</xdr:row>
      <xdr:rowOff>214313</xdr:rowOff>
    </xdr:to>
    <xdr:pic>
      <xdr:nvPicPr>
        <xdr:cNvPr id="7" name="Gráfico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69995" y="2873935"/>
          <a:ext cx="207403" cy="207403"/>
        </a:xfrm>
        <a:prstGeom prst="rect">
          <a:avLst/>
        </a:prstGeom>
      </xdr:spPr>
    </xdr:pic>
    <xdr:clientData/>
  </xdr:twoCellAnchor>
  <xdr:twoCellAnchor editAs="oneCell">
    <xdr:from>
      <xdr:col>4</xdr:col>
      <xdr:colOff>296231</xdr:colOff>
      <xdr:row>15</xdr:row>
      <xdr:rowOff>22860</xdr:rowOff>
    </xdr:from>
    <xdr:to>
      <xdr:col>4</xdr:col>
      <xdr:colOff>491495</xdr:colOff>
      <xdr:row>15</xdr:row>
      <xdr:rowOff>218124</xdr:rowOff>
    </xdr:to>
    <xdr:pic>
      <xdr:nvPicPr>
        <xdr:cNvPr id="8" name="Gráfico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72856" y="3347085"/>
          <a:ext cx="195264" cy="195264"/>
        </a:xfrm>
        <a:prstGeom prst="rect">
          <a:avLst/>
        </a:prstGeom>
      </xdr:spPr>
    </xdr:pic>
    <xdr:clientData/>
  </xdr:twoCellAnchor>
  <xdr:twoCellAnchor editAs="oneCell">
    <xdr:from>
      <xdr:col>4</xdr:col>
      <xdr:colOff>291468</xdr:colOff>
      <xdr:row>14</xdr:row>
      <xdr:rowOff>15239</xdr:rowOff>
    </xdr:from>
    <xdr:to>
      <xdr:col>5</xdr:col>
      <xdr:colOff>3</xdr:colOff>
      <xdr:row>14</xdr:row>
      <xdr:rowOff>219074</xdr:rowOff>
    </xdr:to>
    <xdr:pic>
      <xdr:nvPicPr>
        <xdr:cNvPr id="9" name="Gráfico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68093" y="3110864"/>
          <a:ext cx="203835" cy="203835"/>
        </a:xfrm>
        <a:prstGeom prst="rect">
          <a:avLst/>
        </a:prstGeom>
      </xdr:spPr>
    </xdr:pic>
    <xdr:clientData/>
  </xdr:twoCellAnchor>
  <xdr:twoCellAnchor editAs="oneCell">
    <xdr:from>
      <xdr:col>4</xdr:col>
      <xdr:colOff>299085</xdr:colOff>
      <xdr:row>16</xdr:row>
      <xdr:rowOff>19050</xdr:rowOff>
    </xdr:from>
    <xdr:to>
      <xdr:col>4</xdr:col>
      <xdr:colOff>493395</xdr:colOff>
      <xdr:row>16</xdr:row>
      <xdr:rowOff>213360</xdr:rowOff>
    </xdr:to>
    <xdr:pic>
      <xdr:nvPicPr>
        <xdr:cNvPr id="10" name="Gráfico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75710" y="3571875"/>
          <a:ext cx="194310" cy="194310"/>
        </a:xfrm>
        <a:prstGeom prst="rect">
          <a:avLst/>
        </a:prstGeom>
      </xdr:spPr>
    </xdr:pic>
    <xdr:clientData/>
  </xdr:twoCellAnchor>
  <xdr:twoCellAnchor editAs="oneCell">
    <xdr:from>
      <xdr:col>0</xdr:col>
      <xdr:colOff>125404</xdr:colOff>
      <xdr:row>2</xdr:row>
      <xdr:rowOff>137380</xdr:rowOff>
    </xdr:from>
    <xdr:to>
      <xdr:col>2</xdr:col>
      <xdr:colOff>406780</xdr:colOff>
      <xdr:row>6</xdr:row>
      <xdr:rowOff>163750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7143" b="89286" l="29000" r="71667">
                      <a14:foregroundMark x1="32000" y1="79762" x2="32000" y2="79762"/>
                      <a14:foregroundMark x1="35333" y1="79167" x2="35333" y2="79167"/>
                      <a14:foregroundMark x1="38333" y1="79167" x2="38333" y2="79167"/>
                      <a14:foregroundMark x1="43333" y1="78571" x2="43333" y2="78571"/>
                      <a14:foregroundMark x1="48000" y1="79167" x2="48000" y2="79167"/>
                      <a14:foregroundMark x1="63000" y1="65476" x2="63000" y2="65476"/>
                      <a14:foregroundMark x1="68000" y1="79762" x2="68000" y2="79762"/>
                      <a14:foregroundMark x1="64333" y1="79762" x2="64333" y2="79762"/>
                      <a14:backgroundMark x1="44000" y1="29762" x2="44000" y2="29762"/>
                      <a14:backgroundMark x1="59000" y1="31548" x2="59000" y2="31548"/>
                      <a14:backgroundMark x1="38667" y1="23214" x2="38667" y2="23214"/>
                      <a14:backgroundMark x1="64333" y1="32143" x2="64333" y2="32143"/>
                      <a14:backgroundMark x1="34333" y1="47024" x2="34333" y2="47024"/>
                      <a14:backgroundMark x1="56000" y1="67857" x2="56000" y2="67857"/>
                      <a14:backgroundMark x1="59333" y1="21429" x2="59333" y2="21429"/>
                      <a14:backgroundMark x1="58333" y1="73214" x2="58333" y2="7321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666" t="7739" r="29001" b="12499"/>
        <a:stretch/>
      </xdr:blipFill>
      <xdr:spPr>
        <a:xfrm>
          <a:off x="125404" y="642205"/>
          <a:ext cx="852876" cy="912195"/>
        </a:xfrm>
        <a:prstGeom prst="rect">
          <a:avLst/>
        </a:prstGeom>
      </xdr:spPr>
    </xdr:pic>
    <xdr:clientData/>
  </xdr:twoCellAnchor>
  <xdr:twoCellAnchor>
    <xdr:from>
      <xdr:col>2</xdr:col>
      <xdr:colOff>696057</xdr:colOff>
      <xdr:row>39</xdr:row>
      <xdr:rowOff>21982</xdr:rowOff>
    </xdr:from>
    <xdr:to>
      <xdr:col>3</xdr:col>
      <xdr:colOff>808574</xdr:colOff>
      <xdr:row>41</xdr:row>
      <xdr:rowOff>167433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267557" y="8858251"/>
          <a:ext cx="896498" cy="643682"/>
          <a:chOff x="8274953" y="5885484"/>
          <a:chExt cx="669120" cy="289365"/>
        </a:xfrm>
      </xdr:grpSpPr>
      <xdr:pic>
        <xdr:nvPicPr>
          <xdr:cNvPr id="13" name="Imagen 12" descr="Logo de BBVA: la historia y el significado del logotipo, la marca y el  símbolo. | png, vector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/>
        </xdr:nvPicPr>
        <xdr:blipFill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21951"/>
          <a:stretch/>
        </xdr:blipFill>
        <xdr:spPr bwMode="auto">
          <a:xfrm>
            <a:off x="8671215" y="5885484"/>
            <a:ext cx="272858" cy="150394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4" name="Imagen 13" descr="Microsoft Customer Story-Interbank incrementa el uso de Microsoft 365 con  creativas metodologías de adopción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/>
        </xdr:nvPicPr>
        <xdr:blipFill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532" t="40650" r="4270" b="41646"/>
          <a:stretch/>
        </xdr:blipFill>
        <xdr:spPr bwMode="auto">
          <a:xfrm>
            <a:off x="8343877" y="6049520"/>
            <a:ext cx="552307" cy="125329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/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8274953" y="5930835"/>
            <a:ext cx="314111" cy="106565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1311521</xdr:colOff>
      <xdr:row>38</xdr:row>
      <xdr:rowOff>14652</xdr:rowOff>
    </xdr:from>
    <xdr:to>
      <xdr:col>5</xdr:col>
      <xdr:colOff>468925</xdr:colOff>
      <xdr:row>42</xdr:row>
      <xdr:rowOff>109903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664071" y="8644302"/>
          <a:ext cx="1776779" cy="10858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0">
              <a:solidFill>
                <a:sysClr val="windowText" lastClr="000000"/>
              </a:solidFill>
            </a:rPr>
            <a:t>CONDICIONE</a:t>
          </a:r>
          <a:r>
            <a:rPr lang="en-US" sz="900" b="0" baseline="0">
              <a:solidFill>
                <a:sysClr val="windowText" lastClr="000000"/>
              </a:solidFill>
            </a:rPr>
            <a:t>S DE VENTA:</a:t>
          </a:r>
        </a:p>
        <a:p>
          <a:pPr algn="ctr"/>
          <a:r>
            <a:rPr lang="en-US" sz="900" baseline="0">
              <a:solidFill>
                <a:sysClr val="windowText" lastClr="000000"/>
              </a:solidFill>
            </a:rPr>
            <a:t>- LOS PRECIOS INCLUYEN IGV</a:t>
          </a:r>
        </a:p>
        <a:p>
          <a:pPr algn="ctr"/>
          <a:r>
            <a:rPr lang="en-US" sz="900" baseline="0">
              <a:solidFill>
                <a:sysClr val="windowText" lastClr="000000"/>
              </a:solidFill>
            </a:rPr>
            <a:t>- FORMATO DE PAGO: CONTADO/TRANSFERENCIA </a:t>
          </a:r>
        </a:p>
        <a:p>
          <a:pPr algn="ctr"/>
          <a:r>
            <a:rPr lang="en-US" sz="900" baseline="0">
              <a:solidFill>
                <a:sysClr val="windowText" lastClr="000000"/>
              </a:solidFill>
            </a:rPr>
            <a:t>- EMITIMOS BOLETA Y FACTURA</a:t>
          </a:r>
        </a:p>
        <a:p>
          <a:pPr algn="ctr"/>
          <a:r>
            <a:rPr lang="en-US" sz="900" baseline="0">
              <a:solidFill>
                <a:sysClr val="windowText" lastClr="000000"/>
              </a:solidFill>
            </a:rPr>
            <a:t>- GARANTIA UN AÑO</a:t>
          </a:r>
        </a:p>
        <a:p>
          <a:pPr algn="ctr"/>
          <a:r>
            <a:rPr lang="en-US" sz="900" baseline="0">
              <a:solidFill>
                <a:sysClr val="windowText" lastClr="000000"/>
              </a:solidFill>
            </a:rPr>
            <a:t>- INCLUYE INSTALACION 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537924</xdr:colOff>
      <xdr:row>4</xdr:row>
      <xdr:rowOff>317</xdr:rowOff>
    </xdr:from>
    <xdr:to>
      <xdr:col>2</xdr:col>
      <xdr:colOff>746607</xdr:colOff>
      <xdr:row>4</xdr:row>
      <xdr:rowOff>210206</xdr:rowOff>
    </xdr:to>
    <xdr:sp macro="" textlink="">
      <xdr:nvSpPr>
        <xdr:cNvPr id="3" name="Forma" descr="phone ico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09424" y="936395"/>
          <a:ext cx="208683" cy="209889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10800" y="0"/>
              </a:moveTo>
              <a:cubicBezTo>
                <a:pt x="4818" y="0"/>
                <a:pt x="0" y="4818"/>
                <a:pt x="0" y="10800"/>
              </a:cubicBezTo>
              <a:cubicBezTo>
                <a:pt x="0" y="16782"/>
                <a:pt x="4818" y="21600"/>
                <a:pt x="10800" y="21600"/>
              </a:cubicBezTo>
              <a:cubicBezTo>
                <a:pt x="16782" y="21600"/>
                <a:pt x="21600" y="16782"/>
                <a:pt x="21600" y="10800"/>
              </a:cubicBezTo>
              <a:cubicBezTo>
                <a:pt x="21600" y="4818"/>
                <a:pt x="16781" y="0"/>
                <a:pt x="10800" y="0"/>
              </a:cubicBezTo>
              <a:close/>
              <a:moveTo>
                <a:pt x="9637" y="18942"/>
              </a:moveTo>
              <a:cubicBezTo>
                <a:pt x="8640" y="18942"/>
                <a:pt x="7809" y="18111"/>
                <a:pt x="7809" y="17114"/>
              </a:cubicBezTo>
              <a:lnTo>
                <a:pt x="7809" y="4486"/>
              </a:lnTo>
              <a:cubicBezTo>
                <a:pt x="7809" y="3489"/>
                <a:pt x="8640" y="2658"/>
                <a:pt x="9637" y="2658"/>
              </a:cubicBezTo>
              <a:lnTo>
                <a:pt x="9637" y="18942"/>
              </a:lnTo>
              <a:close/>
              <a:moveTo>
                <a:pt x="13791" y="17778"/>
              </a:moveTo>
              <a:cubicBezTo>
                <a:pt x="13791" y="18443"/>
                <a:pt x="13292" y="18942"/>
                <a:pt x="12628" y="18942"/>
              </a:cubicBezTo>
              <a:lnTo>
                <a:pt x="10800" y="18942"/>
              </a:lnTo>
              <a:lnTo>
                <a:pt x="10800" y="13625"/>
              </a:lnTo>
              <a:lnTo>
                <a:pt x="12628" y="13625"/>
              </a:lnTo>
              <a:cubicBezTo>
                <a:pt x="13292" y="13625"/>
                <a:pt x="13791" y="14123"/>
                <a:pt x="13791" y="14788"/>
              </a:cubicBezTo>
              <a:lnTo>
                <a:pt x="13791" y="17778"/>
              </a:lnTo>
              <a:close/>
              <a:moveTo>
                <a:pt x="13791" y="6812"/>
              </a:moveTo>
              <a:cubicBezTo>
                <a:pt x="13791" y="7477"/>
                <a:pt x="13292" y="7975"/>
                <a:pt x="12628" y="7975"/>
              </a:cubicBezTo>
              <a:lnTo>
                <a:pt x="10800" y="7975"/>
              </a:lnTo>
              <a:lnTo>
                <a:pt x="10800" y="2658"/>
              </a:lnTo>
              <a:lnTo>
                <a:pt x="12628" y="2658"/>
              </a:lnTo>
              <a:cubicBezTo>
                <a:pt x="13292" y="2658"/>
                <a:pt x="13791" y="3157"/>
                <a:pt x="13791" y="3822"/>
              </a:cubicBezTo>
              <a:lnTo>
                <a:pt x="13791" y="6812"/>
              </a:lnTo>
              <a:close/>
            </a:path>
          </a:pathLst>
        </a:custGeom>
        <a:solidFill>
          <a:schemeClr val="tx1">
            <a:lumMod val="65000"/>
            <a:lumOff val="35000"/>
          </a:schemeClr>
        </a:solidFill>
        <a:ln w="12700">
          <a:miter lim="400000"/>
        </a:ln>
      </xdr:spPr>
      <xdr:txBody>
        <a:bodyPr wrap="square" lIns="38100" tIns="38100" rIns="38100" bIns="38100" anchor="ctr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S"/>
        </a:p>
      </xdr:txBody>
    </xdr:sp>
    <xdr:clientData/>
  </xdr:twoCellAnchor>
  <xdr:twoCellAnchor>
    <xdr:from>
      <xdr:col>2</xdr:col>
      <xdr:colOff>527436</xdr:colOff>
      <xdr:row>5</xdr:row>
      <xdr:rowOff>5016</xdr:rowOff>
    </xdr:from>
    <xdr:to>
      <xdr:col>2</xdr:col>
      <xdr:colOff>741444</xdr:colOff>
      <xdr:row>5</xdr:row>
      <xdr:rowOff>220059</xdr:rowOff>
    </xdr:to>
    <xdr:sp macro="" textlink="">
      <xdr:nvSpPr>
        <xdr:cNvPr id="4" name="Forma" descr="email ico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098936" y="1171007"/>
          <a:ext cx="214008" cy="215043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14123" y="7145"/>
              </a:moveTo>
              <a:lnTo>
                <a:pt x="7311" y="7145"/>
              </a:lnTo>
              <a:lnTo>
                <a:pt x="10634" y="9803"/>
              </a:lnTo>
              <a:lnTo>
                <a:pt x="14123" y="7145"/>
              </a:lnTo>
              <a:close/>
              <a:moveTo>
                <a:pt x="10800" y="0"/>
              </a:moveTo>
              <a:cubicBezTo>
                <a:pt x="4818" y="0"/>
                <a:pt x="0" y="4818"/>
                <a:pt x="0" y="10800"/>
              </a:cubicBezTo>
              <a:cubicBezTo>
                <a:pt x="0" y="16782"/>
                <a:pt x="4818" y="21600"/>
                <a:pt x="10800" y="21600"/>
              </a:cubicBezTo>
              <a:cubicBezTo>
                <a:pt x="16782" y="21600"/>
                <a:pt x="21600" y="16782"/>
                <a:pt x="21600" y="10800"/>
              </a:cubicBezTo>
              <a:cubicBezTo>
                <a:pt x="21600" y="4818"/>
                <a:pt x="16781" y="0"/>
                <a:pt x="10800" y="0"/>
              </a:cubicBezTo>
              <a:close/>
              <a:moveTo>
                <a:pt x="17446" y="14123"/>
              </a:moveTo>
              <a:cubicBezTo>
                <a:pt x="17446" y="15286"/>
                <a:pt x="16449" y="16283"/>
                <a:pt x="15286" y="16283"/>
              </a:cubicBezTo>
              <a:lnTo>
                <a:pt x="6480" y="16283"/>
              </a:lnTo>
              <a:cubicBezTo>
                <a:pt x="5317" y="16283"/>
                <a:pt x="4320" y="15286"/>
                <a:pt x="4320" y="14123"/>
              </a:cubicBezTo>
              <a:lnTo>
                <a:pt x="4320" y="7643"/>
              </a:lnTo>
              <a:cubicBezTo>
                <a:pt x="4320" y="6480"/>
                <a:pt x="5317" y="5483"/>
                <a:pt x="6480" y="5483"/>
              </a:cubicBezTo>
              <a:lnTo>
                <a:pt x="15286" y="5483"/>
              </a:lnTo>
              <a:cubicBezTo>
                <a:pt x="16449" y="5483"/>
                <a:pt x="17446" y="6480"/>
                <a:pt x="17446" y="7643"/>
              </a:cubicBezTo>
              <a:lnTo>
                <a:pt x="17446" y="14123"/>
              </a:lnTo>
              <a:close/>
              <a:moveTo>
                <a:pt x="5815" y="7975"/>
              </a:moveTo>
              <a:lnTo>
                <a:pt x="5815" y="14123"/>
              </a:lnTo>
              <a:cubicBezTo>
                <a:pt x="5815" y="14455"/>
                <a:pt x="5982" y="14622"/>
                <a:pt x="6314" y="14622"/>
              </a:cubicBezTo>
              <a:lnTo>
                <a:pt x="15120" y="14622"/>
              </a:lnTo>
              <a:cubicBezTo>
                <a:pt x="15452" y="14622"/>
                <a:pt x="15618" y="14455"/>
                <a:pt x="15618" y="14123"/>
              </a:cubicBezTo>
              <a:lnTo>
                <a:pt x="15618" y="7975"/>
              </a:lnTo>
              <a:lnTo>
                <a:pt x="10634" y="11963"/>
              </a:lnTo>
              <a:lnTo>
                <a:pt x="5815" y="7975"/>
              </a:lnTo>
              <a:close/>
            </a:path>
          </a:pathLst>
        </a:custGeom>
        <a:solidFill>
          <a:schemeClr val="tx1">
            <a:lumMod val="65000"/>
            <a:lumOff val="35000"/>
          </a:schemeClr>
        </a:solidFill>
        <a:ln w="12700">
          <a:miter lim="400000"/>
        </a:ln>
      </xdr:spPr>
      <xdr:txBody>
        <a:bodyPr wrap="square" lIns="38100" tIns="38100" rIns="38100" bIns="38100" anchor="ctr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S"/>
        </a:p>
      </xdr:txBody>
    </xdr:sp>
    <xdr:clientData/>
  </xdr:twoCellAnchor>
  <xdr:twoCellAnchor>
    <xdr:from>
      <xdr:col>2</xdr:col>
      <xdr:colOff>532878</xdr:colOff>
      <xdr:row>2</xdr:row>
      <xdr:rowOff>189631</xdr:rowOff>
    </xdr:from>
    <xdr:to>
      <xdr:col>2</xdr:col>
      <xdr:colOff>752105</xdr:colOff>
      <xdr:row>3</xdr:row>
      <xdr:rowOff>210207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1104378" y="695189"/>
          <a:ext cx="219227" cy="218403"/>
          <a:chOff x="1123950" y="676275"/>
          <a:chExt cx="227164" cy="228600"/>
        </a:xfrm>
      </xdr:grpSpPr>
      <xdr:sp macro="" textlink="">
        <xdr:nvSpPr>
          <xdr:cNvPr id="10" name="Elipse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123950" y="676275"/>
            <a:ext cx="227164" cy="228600"/>
          </a:xfrm>
          <a:prstGeom prst="ellipse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b" anchorCtr="0" forceAA="0" compatLnSpc="1">
            <a:prstTxWarp prst="textNoShape">
              <a:avLst/>
            </a:prstTxWarp>
            <a:no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ES"/>
          </a:p>
        </xdr:txBody>
      </xdr:sp>
      <xdr:sp macro="" textlink="">
        <xdr:nvSpPr>
          <xdr:cNvPr id="11" name="Forma" descr="GPS icon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174206" y="709613"/>
            <a:ext cx="133753" cy="17461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10800" y="0"/>
                </a:moveTo>
                <a:cubicBezTo>
                  <a:pt x="4780" y="0"/>
                  <a:pt x="0" y="3668"/>
                  <a:pt x="0" y="8287"/>
                </a:cubicBezTo>
                <a:cubicBezTo>
                  <a:pt x="0" y="12906"/>
                  <a:pt x="10800" y="21600"/>
                  <a:pt x="10800" y="21600"/>
                </a:cubicBezTo>
                <a:cubicBezTo>
                  <a:pt x="10800" y="21600"/>
                  <a:pt x="21600" y="12906"/>
                  <a:pt x="21600" y="8287"/>
                </a:cubicBezTo>
                <a:cubicBezTo>
                  <a:pt x="21600" y="3668"/>
                  <a:pt x="16820" y="0"/>
                  <a:pt x="10800" y="0"/>
                </a:cubicBezTo>
                <a:close/>
                <a:moveTo>
                  <a:pt x="10800" y="11819"/>
                </a:moveTo>
                <a:cubicBezTo>
                  <a:pt x="8144" y="11819"/>
                  <a:pt x="5843" y="10189"/>
                  <a:pt x="5843" y="8015"/>
                </a:cubicBezTo>
                <a:cubicBezTo>
                  <a:pt x="5843" y="5977"/>
                  <a:pt x="7967" y="4211"/>
                  <a:pt x="10800" y="4211"/>
                </a:cubicBezTo>
                <a:cubicBezTo>
                  <a:pt x="13456" y="4211"/>
                  <a:pt x="15757" y="5841"/>
                  <a:pt x="15757" y="8015"/>
                </a:cubicBezTo>
                <a:cubicBezTo>
                  <a:pt x="15757" y="10053"/>
                  <a:pt x="13456" y="11819"/>
                  <a:pt x="10800" y="11819"/>
                </a:cubicBezTo>
                <a:close/>
              </a:path>
            </a:pathLst>
          </a:custGeom>
          <a:solidFill>
            <a:schemeClr val="bg1">
              <a:lumMod val="95000"/>
            </a:schemeClr>
          </a:solidFill>
          <a:ln w="12700">
            <a:miter lim="400000"/>
          </a:ln>
        </xdr:spPr>
        <xdr:txBody>
          <a:bodyPr wrap="square" lIns="38100" tIns="38100" rIns="38100" bIns="38100" anchor="b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ES"/>
          </a:p>
        </xdr:txBody>
      </xdr:sp>
    </xdr:grpSp>
    <xdr:clientData/>
  </xdr:twoCellAnchor>
  <xdr:twoCellAnchor editAs="oneCell">
    <xdr:from>
      <xdr:col>4</xdr:col>
      <xdr:colOff>293370</xdr:colOff>
      <xdr:row>13</xdr:row>
      <xdr:rowOff>6910</xdr:rowOff>
    </xdr:from>
    <xdr:to>
      <xdr:col>5</xdr:col>
      <xdr:colOff>5473</xdr:colOff>
      <xdr:row>13</xdr:row>
      <xdr:rowOff>214313</xdr:rowOff>
    </xdr:to>
    <xdr:pic>
      <xdr:nvPicPr>
        <xdr:cNvPr id="16" name="Gráfico 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71900" y="2879650"/>
          <a:ext cx="207403" cy="207403"/>
        </a:xfrm>
        <a:prstGeom prst="rect">
          <a:avLst/>
        </a:prstGeom>
      </xdr:spPr>
    </xdr:pic>
    <xdr:clientData/>
  </xdr:twoCellAnchor>
  <xdr:twoCellAnchor editAs="oneCell">
    <xdr:from>
      <xdr:col>4</xdr:col>
      <xdr:colOff>296231</xdr:colOff>
      <xdr:row>15</xdr:row>
      <xdr:rowOff>22860</xdr:rowOff>
    </xdr:from>
    <xdr:to>
      <xdr:col>4</xdr:col>
      <xdr:colOff>491495</xdr:colOff>
      <xdr:row>15</xdr:row>
      <xdr:rowOff>218124</xdr:rowOff>
    </xdr:to>
    <xdr:pic>
      <xdr:nvPicPr>
        <xdr:cNvPr id="17" name="Gráfico 2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74761" y="3352800"/>
          <a:ext cx="195264" cy="195264"/>
        </a:xfrm>
        <a:prstGeom prst="rect">
          <a:avLst/>
        </a:prstGeom>
      </xdr:spPr>
    </xdr:pic>
    <xdr:clientData/>
  </xdr:twoCellAnchor>
  <xdr:twoCellAnchor editAs="oneCell">
    <xdr:from>
      <xdr:col>4</xdr:col>
      <xdr:colOff>291468</xdr:colOff>
      <xdr:row>14</xdr:row>
      <xdr:rowOff>15239</xdr:rowOff>
    </xdr:from>
    <xdr:to>
      <xdr:col>5</xdr:col>
      <xdr:colOff>3</xdr:colOff>
      <xdr:row>14</xdr:row>
      <xdr:rowOff>219074</xdr:rowOff>
    </xdr:to>
    <xdr:pic>
      <xdr:nvPicPr>
        <xdr:cNvPr id="18" name="Gráfico 3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769998" y="3116579"/>
          <a:ext cx="203835" cy="203835"/>
        </a:xfrm>
        <a:prstGeom prst="rect">
          <a:avLst/>
        </a:prstGeom>
      </xdr:spPr>
    </xdr:pic>
    <xdr:clientData/>
  </xdr:twoCellAnchor>
  <xdr:twoCellAnchor editAs="oneCell">
    <xdr:from>
      <xdr:col>4</xdr:col>
      <xdr:colOff>299085</xdr:colOff>
      <xdr:row>16</xdr:row>
      <xdr:rowOff>19050</xdr:rowOff>
    </xdr:from>
    <xdr:to>
      <xdr:col>4</xdr:col>
      <xdr:colOff>493395</xdr:colOff>
      <xdr:row>16</xdr:row>
      <xdr:rowOff>213360</xdr:rowOff>
    </xdr:to>
    <xdr:pic>
      <xdr:nvPicPr>
        <xdr:cNvPr id="19" name="Gráfico 4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77615" y="3577590"/>
          <a:ext cx="194310" cy="194310"/>
        </a:xfrm>
        <a:prstGeom prst="rect">
          <a:avLst/>
        </a:prstGeom>
      </xdr:spPr>
    </xdr:pic>
    <xdr:clientData/>
  </xdr:twoCellAnchor>
  <xdr:twoCellAnchor editAs="oneCell">
    <xdr:from>
      <xdr:col>0</xdr:col>
      <xdr:colOff>125404</xdr:colOff>
      <xdr:row>2</xdr:row>
      <xdr:rowOff>137380</xdr:rowOff>
    </xdr:from>
    <xdr:to>
      <xdr:col>2</xdr:col>
      <xdr:colOff>406780</xdr:colOff>
      <xdr:row>6</xdr:row>
      <xdr:rowOff>163750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7143" b="89286" l="29000" r="71667">
                      <a14:foregroundMark x1="32000" y1="79762" x2="32000" y2="79762"/>
                      <a14:foregroundMark x1="35333" y1="79167" x2="35333" y2="79167"/>
                      <a14:foregroundMark x1="38333" y1="79167" x2="38333" y2="79167"/>
                      <a14:foregroundMark x1="43333" y1="78571" x2="43333" y2="78571"/>
                      <a14:foregroundMark x1="48000" y1="79167" x2="48000" y2="79167"/>
                      <a14:foregroundMark x1="63000" y1="65476" x2="63000" y2="65476"/>
                      <a14:foregroundMark x1="68000" y1="79762" x2="68000" y2="79762"/>
                      <a14:foregroundMark x1="64333" y1="79762" x2="64333" y2="79762"/>
                      <a14:backgroundMark x1="44000" y1="29762" x2="44000" y2="29762"/>
                      <a14:backgroundMark x1="59000" y1="31548" x2="59000" y2="31548"/>
                      <a14:backgroundMark x1="38667" y1="23214" x2="38667" y2="23214"/>
                      <a14:backgroundMark x1="64333" y1="32143" x2="64333" y2="32143"/>
                      <a14:backgroundMark x1="34333" y1="47024" x2="34333" y2="47024"/>
                      <a14:backgroundMark x1="56000" y1="67857" x2="56000" y2="67857"/>
                      <a14:backgroundMark x1="59333" y1="21429" x2="59333" y2="21429"/>
                      <a14:backgroundMark x1="58333" y1="73214" x2="58333" y2="7321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666" t="7739" r="29001" b="12499"/>
        <a:stretch/>
      </xdr:blipFill>
      <xdr:spPr>
        <a:xfrm>
          <a:off x="125404" y="645685"/>
          <a:ext cx="849213" cy="914760"/>
        </a:xfrm>
        <a:prstGeom prst="rect">
          <a:avLst/>
        </a:prstGeom>
      </xdr:spPr>
    </xdr:pic>
    <xdr:clientData/>
  </xdr:twoCellAnchor>
  <xdr:twoCellAnchor>
    <xdr:from>
      <xdr:col>2</xdr:col>
      <xdr:colOff>696057</xdr:colOff>
      <xdr:row>39</xdr:row>
      <xdr:rowOff>21982</xdr:rowOff>
    </xdr:from>
    <xdr:to>
      <xdr:col>3</xdr:col>
      <xdr:colOff>808574</xdr:colOff>
      <xdr:row>41</xdr:row>
      <xdr:rowOff>167433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1267557" y="8858251"/>
          <a:ext cx="896498" cy="643682"/>
          <a:chOff x="8274953" y="5885484"/>
          <a:chExt cx="669120" cy="289365"/>
        </a:xfrm>
      </xdr:grpSpPr>
      <xdr:pic>
        <xdr:nvPicPr>
          <xdr:cNvPr id="24" name="Imagen 23" descr="Logo de BBVA: la historia y el significado del logotipo, la marca y el  símbolo. | png, vector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PicPr/>
        </xdr:nvPicPr>
        <xdr:blipFill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21951"/>
          <a:stretch/>
        </xdr:blipFill>
        <xdr:spPr bwMode="auto">
          <a:xfrm>
            <a:off x="8671215" y="5885484"/>
            <a:ext cx="272858" cy="150394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5" name="Imagen 24" descr="Microsoft Customer Story-Interbank incrementa el uso de Microsoft 365 con  creativas metodologías de adopción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PicPr/>
        </xdr:nvPicPr>
        <xdr:blipFill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532" t="40650" r="4270" b="41646"/>
          <a:stretch/>
        </xdr:blipFill>
        <xdr:spPr bwMode="auto">
          <a:xfrm>
            <a:off x="8343877" y="6049520"/>
            <a:ext cx="552307" cy="125329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26" name="Imagen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PicPr/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8274953" y="5930835"/>
            <a:ext cx="314111" cy="106565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1311521</xdr:colOff>
      <xdr:row>38</xdr:row>
      <xdr:rowOff>14652</xdr:rowOff>
    </xdr:from>
    <xdr:to>
      <xdr:col>5</xdr:col>
      <xdr:colOff>468925</xdr:colOff>
      <xdr:row>42</xdr:row>
      <xdr:rowOff>109903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667002" y="8601806"/>
          <a:ext cx="1780442" cy="10917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0">
              <a:solidFill>
                <a:sysClr val="windowText" lastClr="000000"/>
              </a:solidFill>
            </a:rPr>
            <a:t>CONDICIONE</a:t>
          </a:r>
          <a:r>
            <a:rPr lang="en-US" sz="900" b="0" baseline="0">
              <a:solidFill>
                <a:sysClr val="windowText" lastClr="000000"/>
              </a:solidFill>
            </a:rPr>
            <a:t>S DE VENTA:</a:t>
          </a:r>
        </a:p>
        <a:p>
          <a:pPr algn="ctr"/>
          <a:r>
            <a:rPr lang="en-US" sz="900" baseline="0">
              <a:solidFill>
                <a:sysClr val="windowText" lastClr="000000"/>
              </a:solidFill>
            </a:rPr>
            <a:t>- LOS PRECIOS INCLUYEN IGV</a:t>
          </a:r>
        </a:p>
        <a:p>
          <a:pPr algn="ctr"/>
          <a:r>
            <a:rPr lang="en-US" sz="900" baseline="0">
              <a:solidFill>
                <a:sysClr val="windowText" lastClr="000000"/>
              </a:solidFill>
            </a:rPr>
            <a:t>- FORMATO DE PAGO: CONTADO/TRANSFERENCIA </a:t>
          </a:r>
        </a:p>
        <a:p>
          <a:pPr algn="ctr"/>
          <a:r>
            <a:rPr lang="en-US" sz="900" baseline="0">
              <a:solidFill>
                <a:sysClr val="windowText" lastClr="000000"/>
              </a:solidFill>
            </a:rPr>
            <a:t>- EMITIMOS BOLETA Y FACTURA</a:t>
          </a:r>
        </a:p>
        <a:p>
          <a:pPr algn="ctr"/>
          <a:r>
            <a:rPr lang="en-US" sz="900" baseline="0">
              <a:solidFill>
                <a:sysClr val="windowText" lastClr="000000"/>
              </a:solidFill>
            </a:rPr>
            <a:t>- GARANTIA UN AÑO</a:t>
          </a:r>
        </a:p>
        <a:p>
          <a:pPr algn="ctr"/>
          <a:r>
            <a:rPr lang="en-US" sz="900" baseline="0">
              <a:solidFill>
                <a:sysClr val="windowText" lastClr="000000"/>
              </a:solidFill>
            </a:rPr>
            <a:t>- INCLUYE INSTALACION 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mputexeirl@gmail.com" TargetMode="External"/><Relationship Id="rId1" Type="http://schemas.openxmlformats.org/officeDocument/2006/relationships/hyperlink" Target="mailto:computexeirl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computexeirl@gmail.com" TargetMode="External"/><Relationship Id="rId1" Type="http://schemas.openxmlformats.org/officeDocument/2006/relationships/hyperlink" Target="mailto:computexeirl@gmail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computexeirl@gmail.com" TargetMode="External"/><Relationship Id="rId1" Type="http://schemas.openxmlformats.org/officeDocument/2006/relationships/hyperlink" Target="mailto:computexeirl@gmail.com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C7EE-3998-41F6-A971-89BC905AFBE5}">
  <sheetPr>
    <tabColor rgb="FF8496B0"/>
    <outlinePr summaryBelow="0" summaryRight="0"/>
    <pageSetUpPr fitToPage="1"/>
  </sheetPr>
  <dimension ref="A1:M49"/>
  <sheetViews>
    <sheetView showGridLines="0" tabSelected="1" zoomScaleNormal="100" workbookViewId="0">
      <selection activeCell="K14" sqref="K14"/>
    </sheetView>
  </sheetViews>
  <sheetFormatPr baseColWidth="10" defaultColWidth="17.28515625" defaultRowHeight="15" customHeight="1"/>
  <cols>
    <col min="1" max="2" width="4.28515625" customWidth="1"/>
    <col min="3" max="3" width="11.7109375" customWidth="1"/>
    <col min="4" max="4" width="31.85546875" customWidth="1"/>
    <col min="5" max="5" width="7.42578125" customWidth="1"/>
    <col min="6" max="6" width="16.42578125" customWidth="1"/>
    <col min="7" max="7" width="17.5703125" customWidth="1"/>
    <col min="8" max="8" width="21.85546875" customWidth="1"/>
    <col min="9" max="9" width="4" customWidth="1"/>
  </cols>
  <sheetData>
    <row r="1" spans="1:9" ht="14.25" customHeight="1">
      <c r="A1" s="50"/>
      <c r="B1" s="50"/>
      <c r="C1" s="51"/>
      <c r="D1" s="51"/>
      <c r="E1" s="52"/>
      <c r="F1" s="53"/>
      <c r="G1" s="52"/>
      <c r="H1" s="54"/>
      <c r="I1" s="54"/>
    </row>
    <row r="2" spans="1:9" ht="25.5" customHeight="1">
      <c r="A2" s="1"/>
      <c r="B2" s="1"/>
      <c r="C2" s="2"/>
      <c r="D2" s="2"/>
      <c r="E2" s="3"/>
      <c r="F2" s="3"/>
      <c r="G2" s="3"/>
      <c r="H2" s="4"/>
      <c r="I2" s="4"/>
    </row>
    <row r="3" spans="1:9" ht="15.75" customHeight="1">
      <c r="A3" s="5"/>
      <c r="B3" s="5"/>
      <c r="C3" s="6"/>
      <c r="D3" s="62" t="s">
        <v>25</v>
      </c>
      <c r="E3" s="6"/>
      <c r="F3" s="1"/>
      <c r="G3" s="74" t="s">
        <v>38</v>
      </c>
      <c r="H3" s="74"/>
      <c r="I3" s="6"/>
    </row>
    <row r="4" spans="1:9" ht="18" customHeight="1">
      <c r="A4" s="5"/>
      <c r="B4" s="5"/>
      <c r="C4" s="6"/>
      <c r="D4" s="61" t="s">
        <v>18</v>
      </c>
      <c r="E4" s="6"/>
      <c r="F4" s="1"/>
      <c r="G4" s="74"/>
      <c r="H4" s="74"/>
      <c r="I4" s="6"/>
    </row>
    <row r="5" spans="1:9" ht="18" customHeight="1">
      <c r="A5" s="5"/>
      <c r="B5" s="5"/>
      <c r="C5" s="6"/>
      <c r="D5" s="61" t="s">
        <v>17</v>
      </c>
      <c r="E5" s="6"/>
      <c r="F5" s="1"/>
      <c r="G5" s="74"/>
      <c r="H5" s="74"/>
      <c r="I5" s="6"/>
    </row>
    <row r="6" spans="1:9" ht="18" customHeight="1">
      <c r="A6" s="5"/>
      <c r="B6" s="5"/>
      <c r="C6" s="7"/>
      <c r="D6" s="60" t="s">
        <v>16</v>
      </c>
      <c r="E6" s="1"/>
      <c r="F6" s="8"/>
      <c r="G6" s="1"/>
      <c r="H6" s="32" t="s">
        <v>12</v>
      </c>
      <c r="I6" s="9"/>
    </row>
    <row r="7" spans="1:9" ht="18" customHeight="1">
      <c r="A7" s="5"/>
      <c r="B7" s="5"/>
      <c r="C7" s="7"/>
      <c r="D7" s="7"/>
      <c r="E7" s="1"/>
      <c r="F7" s="10"/>
      <c r="G7" s="1"/>
      <c r="H7" s="37"/>
      <c r="I7" s="11"/>
    </row>
    <row r="8" spans="1:9" ht="18" customHeight="1">
      <c r="A8" s="5"/>
      <c r="B8" s="5"/>
      <c r="C8" s="7"/>
      <c r="D8" s="7"/>
      <c r="E8" s="1"/>
      <c r="F8" s="8"/>
      <c r="G8" s="1"/>
      <c r="H8" s="32" t="s">
        <v>6</v>
      </c>
      <c r="I8" s="9"/>
    </row>
    <row r="9" spans="1:9" ht="24" customHeight="1">
      <c r="A9" s="5"/>
      <c r="B9" s="5"/>
      <c r="C9" s="7"/>
      <c r="D9" s="7"/>
      <c r="E9" s="1"/>
      <c r="F9" s="12"/>
      <c r="G9" s="1"/>
      <c r="H9" s="43">
        <v>330</v>
      </c>
      <c r="I9" s="12"/>
    </row>
    <row r="10" spans="1:9" ht="18" customHeight="1">
      <c r="A10" s="13"/>
      <c r="B10" s="13"/>
      <c r="C10" s="14"/>
      <c r="D10" s="14"/>
      <c r="E10" s="15"/>
      <c r="F10" s="15"/>
      <c r="G10" s="75"/>
      <c r="H10" s="76"/>
      <c r="I10" s="16"/>
    </row>
    <row r="11" spans="1:9" ht="18" customHeight="1">
      <c r="A11" s="13"/>
      <c r="B11" s="13"/>
      <c r="C11" s="17"/>
      <c r="D11" s="17"/>
      <c r="E11" s="15"/>
      <c r="F11" s="77"/>
      <c r="G11" s="76"/>
      <c r="H11" s="76"/>
      <c r="I11" s="18"/>
    </row>
    <row r="12" spans="1:9" ht="15.75" customHeight="1">
      <c r="A12" s="13"/>
      <c r="B12" s="13"/>
      <c r="C12" s="31" t="s">
        <v>0</v>
      </c>
      <c r="D12" s="31"/>
      <c r="E12" s="15"/>
      <c r="F12" s="31" t="s">
        <v>2</v>
      </c>
      <c r="G12" s="33"/>
      <c r="H12" s="33"/>
      <c r="I12" s="19"/>
    </row>
    <row r="13" spans="1:9" ht="4.5" customHeight="1">
      <c r="A13" s="13"/>
      <c r="B13" s="13"/>
      <c r="C13" s="15"/>
      <c r="D13" s="15"/>
      <c r="E13" s="15"/>
      <c r="F13" s="15"/>
      <c r="G13" s="15"/>
      <c r="H13" s="15"/>
      <c r="I13" s="15"/>
    </row>
    <row r="14" spans="1:9" ht="18" customHeight="1">
      <c r="A14" s="13"/>
      <c r="B14" s="13"/>
      <c r="C14" s="72"/>
      <c r="D14" s="73"/>
      <c r="E14" s="20"/>
      <c r="F14" s="72" t="s">
        <v>14</v>
      </c>
      <c r="G14" s="73"/>
      <c r="H14" s="73"/>
      <c r="I14" s="21"/>
    </row>
    <row r="15" spans="1:9" ht="18" customHeight="1">
      <c r="A15" s="13"/>
      <c r="B15" s="13"/>
      <c r="C15" s="63"/>
      <c r="D15" s="64"/>
      <c r="E15" s="20"/>
      <c r="F15" s="72" t="s">
        <v>18</v>
      </c>
      <c r="G15" s="73"/>
      <c r="H15" s="73"/>
      <c r="I15" s="21"/>
    </row>
    <row r="16" spans="1:9" ht="18" customHeight="1">
      <c r="A16" s="13"/>
      <c r="B16" s="13"/>
      <c r="C16" s="81"/>
      <c r="D16" s="82"/>
      <c r="E16" s="20"/>
      <c r="F16" s="72" t="s">
        <v>17</v>
      </c>
      <c r="G16" s="73"/>
      <c r="H16" s="73"/>
      <c r="I16" s="21"/>
    </row>
    <row r="17" spans="1:13" ht="18" customHeight="1">
      <c r="A17" s="13"/>
      <c r="B17" s="13"/>
      <c r="E17" s="20"/>
      <c r="F17" s="83" t="s">
        <v>16</v>
      </c>
      <c r="G17" s="84"/>
      <c r="H17" s="63"/>
      <c r="I17" s="21"/>
    </row>
    <row r="18" spans="1:13" ht="18" customHeight="1">
      <c r="A18" s="13"/>
      <c r="B18" s="13"/>
      <c r="C18" s="21"/>
      <c r="E18" s="20"/>
      <c r="F18" s="21"/>
      <c r="H18" s="21"/>
      <c r="I18" s="21"/>
    </row>
    <row r="19" spans="1:13" ht="18" customHeight="1">
      <c r="A19" s="13"/>
      <c r="B19" s="13"/>
      <c r="C19" s="56" t="s">
        <v>3</v>
      </c>
      <c r="D19" s="85" t="s">
        <v>5</v>
      </c>
      <c r="E19" s="86"/>
      <c r="F19" s="87"/>
      <c r="G19" s="57" t="s">
        <v>7</v>
      </c>
      <c r="H19" s="56" t="s">
        <v>4</v>
      </c>
      <c r="I19" s="21"/>
    </row>
    <row r="20" spans="1:13" ht="18" customHeight="1">
      <c r="A20" s="13"/>
      <c r="B20" s="13"/>
      <c r="C20" s="65"/>
      <c r="D20" s="88"/>
      <c r="E20" s="88"/>
      <c r="F20" s="88"/>
      <c r="G20" s="68"/>
      <c r="H20" s="68"/>
      <c r="I20" s="59"/>
    </row>
    <row r="21" spans="1:13" ht="18" customHeight="1">
      <c r="A21" s="13"/>
      <c r="B21" s="13"/>
      <c r="C21" s="66"/>
      <c r="D21" s="89"/>
      <c r="E21" s="89"/>
      <c r="F21" s="89"/>
      <c r="G21" s="69"/>
      <c r="H21" s="69"/>
      <c r="I21" s="59"/>
    </row>
    <row r="22" spans="1:13" ht="18" customHeight="1">
      <c r="A22" s="13"/>
      <c r="B22" s="13"/>
      <c r="C22" s="65"/>
      <c r="D22" s="88"/>
      <c r="E22" s="88"/>
      <c r="F22" s="88"/>
      <c r="G22" s="68"/>
      <c r="H22" s="68"/>
      <c r="I22" s="21"/>
    </row>
    <row r="23" spans="1:13" ht="18" customHeight="1">
      <c r="A23" s="13"/>
      <c r="B23" s="13"/>
      <c r="C23" s="66"/>
      <c r="D23" s="90"/>
      <c r="E23" s="89"/>
      <c r="F23" s="89"/>
      <c r="G23" s="69"/>
      <c r="H23" s="69"/>
      <c r="I23" s="21"/>
      <c r="J23" s="46"/>
    </row>
    <row r="24" spans="1:13" ht="18" customHeight="1">
      <c r="A24" s="13"/>
      <c r="B24" s="13"/>
      <c r="C24" s="65"/>
      <c r="D24" s="88"/>
      <c r="E24" s="88"/>
      <c r="F24" s="88"/>
      <c r="G24" s="68"/>
      <c r="H24" s="68"/>
      <c r="I24" s="21"/>
    </row>
    <row r="25" spans="1:13" ht="18" customHeight="1">
      <c r="A25" s="13"/>
      <c r="B25" s="13"/>
      <c r="C25" s="66"/>
      <c r="D25" s="78"/>
      <c r="E25" s="79"/>
      <c r="F25" s="80"/>
      <c r="G25" s="69"/>
      <c r="H25" s="69"/>
      <c r="I25" s="21"/>
      <c r="M25" s="46"/>
    </row>
    <row r="26" spans="1:13" ht="18" customHeight="1">
      <c r="A26" s="13"/>
      <c r="B26" s="13"/>
      <c r="C26" s="65"/>
      <c r="D26" s="91"/>
      <c r="E26" s="92"/>
      <c r="F26" s="93"/>
      <c r="G26" s="68"/>
      <c r="H26" s="68"/>
      <c r="I26" s="21"/>
    </row>
    <row r="27" spans="1:13" ht="18" customHeight="1">
      <c r="A27" s="13"/>
      <c r="B27" s="13"/>
      <c r="C27" s="66"/>
      <c r="D27" s="78"/>
      <c r="E27" s="79"/>
      <c r="F27" s="80"/>
      <c r="G27" s="69"/>
      <c r="H27" s="69"/>
      <c r="I27" s="21"/>
    </row>
    <row r="28" spans="1:13" ht="18" customHeight="1">
      <c r="A28" s="13"/>
      <c r="B28" s="13"/>
      <c r="C28" s="65"/>
      <c r="D28" s="91"/>
      <c r="E28" s="92"/>
      <c r="F28" s="93"/>
      <c r="G28" s="68"/>
      <c r="H28" s="68"/>
      <c r="I28" s="21"/>
    </row>
    <row r="29" spans="1:13" ht="18" customHeight="1">
      <c r="A29" s="13"/>
      <c r="B29" s="13"/>
      <c r="C29" s="66"/>
      <c r="D29" s="78"/>
      <c r="E29" s="79"/>
      <c r="F29" s="80"/>
      <c r="G29" s="69"/>
      <c r="H29" s="69"/>
      <c r="I29" s="21"/>
    </row>
    <row r="30" spans="1:13" ht="18" customHeight="1">
      <c r="A30" s="13"/>
      <c r="B30" s="13"/>
      <c r="C30" s="65"/>
      <c r="D30" s="91"/>
      <c r="E30" s="92"/>
      <c r="F30" s="93"/>
      <c r="G30" s="68"/>
      <c r="H30" s="68"/>
      <c r="I30" s="21"/>
    </row>
    <row r="31" spans="1:13" ht="18" customHeight="1">
      <c r="A31" s="13"/>
      <c r="B31" s="13"/>
      <c r="C31" s="66"/>
      <c r="D31" s="89"/>
      <c r="E31" s="89"/>
      <c r="F31" s="89"/>
      <c r="G31" s="69"/>
      <c r="H31" s="69"/>
      <c r="I31" s="21"/>
      <c r="L31" s="71"/>
    </row>
    <row r="32" spans="1:13" ht="18" customHeight="1">
      <c r="A32" s="13"/>
      <c r="B32" s="13"/>
      <c r="C32" s="65"/>
      <c r="D32" s="88"/>
      <c r="E32" s="88"/>
      <c r="F32" s="88"/>
      <c r="G32" s="68"/>
      <c r="H32" s="68"/>
      <c r="I32" s="21"/>
    </row>
    <row r="33" spans="1:9" ht="18" customHeight="1">
      <c r="A33" s="13"/>
      <c r="B33" s="13"/>
      <c r="C33" s="66"/>
      <c r="D33" s="89"/>
      <c r="E33" s="89"/>
      <c r="F33" s="89"/>
      <c r="G33" s="69"/>
      <c r="H33" s="69"/>
      <c r="I33" s="21"/>
    </row>
    <row r="34" spans="1:9" ht="18" customHeight="1">
      <c r="A34" s="13"/>
      <c r="B34" s="13"/>
      <c r="C34" s="65"/>
      <c r="D34" s="88"/>
      <c r="E34" s="88"/>
      <c r="F34" s="88"/>
      <c r="G34" s="68"/>
      <c r="H34" s="68"/>
      <c r="I34" s="21"/>
    </row>
    <row r="35" spans="1:9" ht="18" customHeight="1">
      <c r="A35" s="13"/>
      <c r="B35" s="13"/>
      <c r="C35" s="66"/>
      <c r="D35" s="89"/>
      <c r="E35" s="89"/>
      <c r="F35" s="89"/>
      <c r="G35" s="69"/>
      <c r="H35" s="69"/>
      <c r="I35" s="21"/>
    </row>
    <row r="36" spans="1:9" ht="18" customHeight="1">
      <c r="A36" s="13"/>
      <c r="B36" s="13"/>
      <c r="C36" s="67"/>
      <c r="D36" s="96"/>
      <c r="E36" s="96"/>
      <c r="F36" s="96"/>
      <c r="G36" s="70"/>
      <c r="H36" s="70"/>
      <c r="I36" s="21"/>
    </row>
    <row r="37" spans="1:9" ht="7.5" customHeight="1">
      <c r="A37" s="13"/>
      <c r="B37" s="13"/>
      <c r="I37" s="22"/>
    </row>
    <row r="38" spans="1:9" ht="32.25" customHeight="1">
      <c r="A38" s="13"/>
      <c r="B38" s="13"/>
      <c r="C38" s="97" t="s">
        <v>15</v>
      </c>
      <c r="D38" s="98"/>
      <c r="E38" s="98"/>
      <c r="F38" s="98"/>
      <c r="G38" s="34" t="s">
        <v>1</v>
      </c>
      <c r="H38" s="44">
        <f>SUM(H20:H36)</f>
        <v>0</v>
      </c>
      <c r="I38" s="23"/>
    </row>
    <row r="39" spans="1:9" ht="19.5" customHeight="1">
      <c r="A39" s="13"/>
      <c r="B39" s="13"/>
      <c r="C39" s="99" t="s">
        <v>29</v>
      </c>
      <c r="D39" s="100"/>
      <c r="E39" s="100"/>
      <c r="F39" s="100"/>
      <c r="G39" s="35" t="s">
        <v>9</v>
      </c>
      <c r="H39" s="39">
        <v>0</v>
      </c>
      <c r="I39" s="23"/>
    </row>
    <row r="40" spans="1:9" ht="19.5" customHeight="1">
      <c r="A40" s="13"/>
      <c r="B40" s="13"/>
      <c r="C40" s="100"/>
      <c r="D40" s="100"/>
      <c r="E40" s="100"/>
      <c r="F40" s="100"/>
      <c r="G40" s="35" t="s">
        <v>10</v>
      </c>
      <c r="H40" s="38">
        <f>(H38-H39)</f>
        <v>0</v>
      </c>
      <c r="I40" s="24"/>
    </row>
    <row r="41" spans="1:9" ht="19.5" customHeight="1">
      <c r="A41" s="13"/>
      <c r="B41" s="13"/>
      <c r="C41" s="100"/>
      <c r="D41" s="100"/>
      <c r="E41" s="100"/>
      <c r="F41" s="100"/>
      <c r="G41" s="35"/>
      <c r="H41" s="45"/>
      <c r="I41" s="23"/>
    </row>
    <row r="42" spans="1:9" ht="19.5" customHeight="1">
      <c r="A42" s="13"/>
      <c r="B42" s="13"/>
      <c r="C42" s="100"/>
      <c r="D42" s="100"/>
      <c r="E42" s="100"/>
      <c r="F42" s="100"/>
      <c r="G42" s="36" t="s">
        <v>11</v>
      </c>
      <c r="H42" s="38">
        <v>0</v>
      </c>
      <c r="I42" s="25"/>
    </row>
    <row r="43" spans="1:9" ht="33.75" customHeight="1">
      <c r="A43" s="13"/>
      <c r="B43" s="13"/>
      <c r="C43" s="94" t="s">
        <v>26</v>
      </c>
      <c r="D43" s="95"/>
      <c r="E43" s="95"/>
      <c r="F43" s="95"/>
      <c r="G43" s="26" t="s">
        <v>21</v>
      </c>
      <c r="H43" s="58">
        <f>(H40+H41+H42)</f>
        <v>0</v>
      </c>
      <c r="I43" s="27"/>
    </row>
    <row r="44" spans="1:9" ht="9.75" customHeight="1">
      <c r="A44" s="13"/>
      <c r="B44" s="13"/>
      <c r="C44" s="28"/>
      <c r="D44" s="101"/>
      <c r="E44" s="76"/>
      <c r="F44" s="76"/>
      <c r="G44" s="76"/>
      <c r="H44" s="76"/>
      <c r="I44" s="28"/>
    </row>
    <row r="45" spans="1:9" ht="9.75" customHeight="1">
      <c r="A45" s="13"/>
      <c r="B45" s="13"/>
      <c r="C45" s="102"/>
      <c r="D45" s="103"/>
      <c r="E45" s="28"/>
      <c r="F45" s="28"/>
      <c r="G45" s="28"/>
      <c r="H45" s="28"/>
      <c r="I45" s="28"/>
    </row>
    <row r="46" spans="1:9" ht="15.75" customHeight="1">
      <c r="A46" s="13"/>
      <c r="B46" s="13"/>
      <c r="C46" s="29"/>
      <c r="D46" s="104"/>
      <c r="E46" s="104"/>
      <c r="F46" s="104"/>
      <c r="G46" s="104"/>
      <c r="H46" s="104"/>
      <c r="I46" s="29"/>
    </row>
    <row r="47" spans="1:9" ht="15.75" customHeight="1">
      <c r="A47" s="13"/>
      <c r="B47" s="13"/>
      <c r="C47" s="30"/>
      <c r="D47" s="105"/>
      <c r="E47" s="76"/>
      <c r="F47" s="76"/>
      <c r="G47" s="76"/>
      <c r="H47" s="76"/>
      <c r="I47" s="30"/>
    </row>
    <row r="48" spans="1:9" ht="15.75" customHeight="1">
      <c r="A48" s="106" t="s">
        <v>8</v>
      </c>
      <c r="B48" s="106"/>
      <c r="C48" s="106"/>
      <c r="D48" s="106"/>
      <c r="E48" s="106"/>
      <c r="F48" s="106"/>
      <c r="G48" s="106"/>
      <c r="H48" s="106"/>
      <c r="I48" s="106"/>
    </row>
    <row r="49" spans="1:9" ht="15.75" customHeight="1">
      <c r="A49" s="55"/>
      <c r="B49" s="55"/>
      <c r="C49" s="55"/>
      <c r="D49" s="55"/>
      <c r="E49" s="55"/>
      <c r="F49" s="55"/>
      <c r="G49" s="55"/>
      <c r="H49" s="55"/>
      <c r="I49" s="55"/>
    </row>
  </sheetData>
  <mergeCells count="35">
    <mergeCell ref="D44:H44"/>
    <mergeCell ref="C45:D45"/>
    <mergeCell ref="D46:H46"/>
    <mergeCell ref="D47:H47"/>
    <mergeCell ref="A48:I48"/>
    <mergeCell ref="C43:F43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C38:F38"/>
    <mergeCell ref="C39:F42"/>
    <mergeCell ref="D27:F27"/>
    <mergeCell ref="C16:D16"/>
    <mergeCell ref="F16:H16"/>
    <mergeCell ref="F17:G17"/>
    <mergeCell ref="D19:F19"/>
    <mergeCell ref="D20:F20"/>
    <mergeCell ref="D21:F21"/>
    <mergeCell ref="D22:F22"/>
    <mergeCell ref="D23:F23"/>
    <mergeCell ref="D24:F24"/>
    <mergeCell ref="D25:F25"/>
    <mergeCell ref="D26:F26"/>
    <mergeCell ref="F15:H15"/>
    <mergeCell ref="G3:H5"/>
    <mergeCell ref="G10:H10"/>
    <mergeCell ref="F11:H11"/>
    <mergeCell ref="C14:D14"/>
    <mergeCell ref="F14:H14"/>
  </mergeCells>
  <hyperlinks>
    <hyperlink ref="F17" r:id="rId1" xr:uid="{6EAB5EEB-488A-471F-B329-DF14950E9B87}"/>
    <hyperlink ref="D6" r:id="rId2" xr:uid="{8DEAA4D4-8622-4876-A08B-1B64DD2E6702}"/>
  </hyperlinks>
  <printOptions horizontalCentered="1" verticalCentered="1"/>
  <pageMargins left="0.7" right="0.7" top="0.75" bottom="0.75" header="0.3" footer="0.3"/>
  <pageSetup scale="76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outlinePr summaryBelow="0" summaryRight="0"/>
    <pageSetUpPr fitToPage="1"/>
  </sheetPr>
  <dimension ref="A1:M49"/>
  <sheetViews>
    <sheetView showGridLines="0" topLeftCell="A19" zoomScale="130" zoomScaleNormal="130" workbookViewId="0">
      <selection activeCell="C15" sqref="C15"/>
    </sheetView>
  </sheetViews>
  <sheetFormatPr baseColWidth="10" defaultColWidth="17.28515625" defaultRowHeight="15" customHeight="1"/>
  <cols>
    <col min="1" max="2" width="4.28515625" customWidth="1"/>
    <col min="3" max="3" width="11.7109375" customWidth="1"/>
    <col min="4" max="4" width="31.85546875" customWidth="1"/>
    <col min="5" max="5" width="7.42578125" customWidth="1"/>
    <col min="6" max="6" width="16.42578125" customWidth="1"/>
    <col min="7" max="7" width="17.5703125" customWidth="1"/>
    <col min="8" max="8" width="21.85546875" customWidth="1"/>
    <col min="9" max="9" width="4" customWidth="1"/>
  </cols>
  <sheetData>
    <row r="1" spans="1:9" ht="14.25" customHeight="1">
      <c r="A1" s="50"/>
      <c r="B1" s="50"/>
      <c r="C1" s="51"/>
      <c r="D1" s="51"/>
      <c r="E1" s="52"/>
      <c r="F1" s="53"/>
      <c r="G1" s="52"/>
      <c r="H1" s="54"/>
      <c r="I1" s="54"/>
    </row>
    <row r="2" spans="1:9" ht="25.5" customHeight="1">
      <c r="A2" s="1"/>
      <c r="B2" s="1"/>
      <c r="C2" s="2"/>
      <c r="D2" s="2"/>
      <c r="E2" s="3"/>
      <c r="F2" s="3"/>
      <c r="G2" s="3"/>
      <c r="H2" s="4"/>
      <c r="I2" s="4"/>
    </row>
    <row r="3" spans="1:9" ht="15.75" customHeight="1">
      <c r="A3" s="5"/>
      <c r="B3" s="5"/>
      <c r="C3" s="6"/>
      <c r="D3" s="62" t="s">
        <v>25</v>
      </c>
      <c r="E3" s="6"/>
      <c r="F3" s="1"/>
      <c r="G3" s="108" t="s">
        <v>13</v>
      </c>
      <c r="H3" s="108"/>
      <c r="I3" s="6"/>
    </row>
    <row r="4" spans="1:9" ht="18" customHeight="1">
      <c r="A4" s="5"/>
      <c r="B4" s="5"/>
      <c r="C4" s="6"/>
      <c r="D4" s="61" t="s">
        <v>18</v>
      </c>
      <c r="E4" s="6"/>
      <c r="F4" s="1"/>
      <c r="G4" s="108"/>
      <c r="H4" s="108"/>
      <c r="I4" s="6"/>
    </row>
    <row r="5" spans="1:9" ht="18" customHeight="1">
      <c r="A5" s="5"/>
      <c r="B5" s="5"/>
      <c r="C5" s="6"/>
      <c r="D5" s="61" t="s">
        <v>17</v>
      </c>
      <c r="E5" s="6"/>
      <c r="F5" s="1"/>
      <c r="G5" s="108"/>
      <c r="H5" s="108"/>
      <c r="I5" s="6"/>
    </row>
    <row r="6" spans="1:9" ht="18" customHeight="1">
      <c r="A6" s="5"/>
      <c r="B6" s="5"/>
      <c r="C6" s="7"/>
      <c r="D6" s="60" t="s">
        <v>16</v>
      </c>
      <c r="E6" s="1"/>
      <c r="F6" s="8"/>
      <c r="G6" s="1"/>
      <c r="H6" s="32" t="s">
        <v>12</v>
      </c>
      <c r="I6" s="9"/>
    </row>
    <row r="7" spans="1:9" ht="18" customHeight="1">
      <c r="A7" s="5"/>
      <c r="B7" s="5"/>
      <c r="C7" s="7"/>
      <c r="D7" s="7"/>
      <c r="E7" s="1"/>
      <c r="F7" s="10"/>
      <c r="G7" s="1"/>
      <c r="H7" s="37">
        <f ca="1">TODAY()</f>
        <v>45226</v>
      </c>
      <c r="I7" s="11"/>
    </row>
    <row r="8" spans="1:9" ht="18" customHeight="1">
      <c r="A8" s="5"/>
      <c r="B8" s="5"/>
      <c r="C8" s="7"/>
      <c r="D8" s="7"/>
      <c r="E8" s="1"/>
      <c r="F8" s="8"/>
      <c r="G8" s="1"/>
      <c r="H8" s="32" t="s">
        <v>6</v>
      </c>
      <c r="I8" s="9"/>
    </row>
    <row r="9" spans="1:9" ht="24" customHeight="1">
      <c r="A9" s="5"/>
      <c r="B9" s="5"/>
      <c r="C9" s="7"/>
      <c r="D9" s="7"/>
      <c r="E9" s="1"/>
      <c r="F9" s="12"/>
      <c r="G9" s="1"/>
      <c r="H9" s="43">
        <v>330</v>
      </c>
      <c r="I9" s="12"/>
    </row>
    <row r="10" spans="1:9" ht="18" customHeight="1">
      <c r="A10" s="13"/>
      <c r="B10" s="13"/>
      <c r="C10" s="14"/>
      <c r="D10" s="14"/>
      <c r="E10" s="15"/>
      <c r="F10" s="15"/>
      <c r="G10" s="75"/>
      <c r="H10" s="76"/>
      <c r="I10" s="16"/>
    </row>
    <row r="11" spans="1:9" ht="18" customHeight="1">
      <c r="A11" s="13"/>
      <c r="B11" s="13"/>
      <c r="C11" s="17"/>
      <c r="D11" s="17"/>
      <c r="E11" s="15"/>
      <c r="F11" s="77"/>
      <c r="G11" s="76"/>
      <c r="H11" s="76"/>
      <c r="I11" s="18"/>
    </row>
    <row r="12" spans="1:9" ht="15.75" customHeight="1">
      <c r="A12" s="13"/>
      <c r="B12" s="13"/>
      <c r="C12" s="31" t="s">
        <v>0</v>
      </c>
      <c r="D12" s="31"/>
      <c r="E12" s="15"/>
      <c r="F12" s="31" t="s">
        <v>2</v>
      </c>
      <c r="G12" s="33"/>
      <c r="H12" s="33"/>
      <c r="I12" s="19"/>
    </row>
    <row r="13" spans="1:9" ht="4.5" customHeight="1">
      <c r="A13" s="13"/>
      <c r="B13" s="13"/>
      <c r="C13" s="15"/>
      <c r="D13" s="15"/>
      <c r="E13" s="15"/>
      <c r="F13" s="15"/>
      <c r="G13" s="15"/>
      <c r="H13" s="15"/>
      <c r="I13" s="15"/>
    </row>
    <row r="14" spans="1:9" ht="18" customHeight="1">
      <c r="A14" s="13"/>
      <c r="B14" s="13"/>
      <c r="C14" s="72" t="s">
        <v>30</v>
      </c>
      <c r="D14" s="73"/>
      <c r="E14" s="20"/>
      <c r="F14" s="72" t="s">
        <v>14</v>
      </c>
      <c r="G14" s="73"/>
      <c r="H14" s="73"/>
      <c r="I14" s="21"/>
    </row>
    <row r="15" spans="1:9" ht="18" customHeight="1">
      <c r="A15" s="13"/>
      <c r="B15" s="13"/>
      <c r="C15" s="63">
        <v>995828719</v>
      </c>
      <c r="D15" s="64"/>
      <c r="E15" s="20"/>
      <c r="F15" s="72" t="s">
        <v>18</v>
      </c>
      <c r="G15" s="73"/>
      <c r="H15" s="73"/>
      <c r="I15" s="21"/>
    </row>
    <row r="16" spans="1:9" ht="18" customHeight="1">
      <c r="A16" s="13"/>
      <c r="B16" s="13"/>
      <c r="C16" s="81"/>
      <c r="D16" s="82"/>
      <c r="E16" s="20"/>
      <c r="F16" s="72" t="s">
        <v>17</v>
      </c>
      <c r="G16" s="73"/>
      <c r="H16" s="73"/>
      <c r="I16" s="21"/>
    </row>
    <row r="17" spans="1:13" ht="18" customHeight="1">
      <c r="A17" s="13"/>
      <c r="B17" s="13"/>
      <c r="E17" s="20"/>
      <c r="F17" s="83" t="s">
        <v>16</v>
      </c>
      <c r="G17" s="84"/>
      <c r="H17" s="63"/>
      <c r="I17" s="21"/>
    </row>
    <row r="18" spans="1:13" ht="18" customHeight="1">
      <c r="A18" s="13"/>
      <c r="B18" s="13"/>
      <c r="C18" s="21"/>
      <c r="E18" s="20"/>
      <c r="F18" s="21"/>
      <c r="H18" s="21"/>
      <c r="I18" s="21"/>
    </row>
    <row r="19" spans="1:13" ht="18" customHeight="1">
      <c r="A19" s="13"/>
      <c r="B19" s="13"/>
      <c r="C19" s="56" t="s">
        <v>3</v>
      </c>
      <c r="D19" s="85" t="s">
        <v>5</v>
      </c>
      <c r="E19" s="86"/>
      <c r="F19" s="87"/>
      <c r="G19" s="57" t="s">
        <v>7</v>
      </c>
      <c r="H19" s="56" t="s">
        <v>4</v>
      </c>
      <c r="I19" s="21"/>
    </row>
    <row r="20" spans="1:13" ht="18" customHeight="1">
      <c r="A20" s="13"/>
      <c r="B20" s="13"/>
      <c r="C20" s="65">
        <v>1</v>
      </c>
      <c r="D20" s="88" t="s">
        <v>31</v>
      </c>
      <c r="E20" s="88"/>
      <c r="F20" s="88"/>
      <c r="G20" s="68"/>
      <c r="H20" s="68">
        <v>400</v>
      </c>
      <c r="I20" s="59"/>
    </row>
    <row r="21" spans="1:13" ht="18" customHeight="1">
      <c r="A21" s="13"/>
      <c r="B21" s="13"/>
      <c r="C21" s="66">
        <v>1</v>
      </c>
      <c r="D21" s="89" t="s">
        <v>32</v>
      </c>
      <c r="E21" s="89"/>
      <c r="F21" s="89"/>
      <c r="G21" s="69"/>
      <c r="H21" s="69">
        <v>290</v>
      </c>
      <c r="I21" s="59"/>
    </row>
    <row r="22" spans="1:13" ht="18" customHeight="1">
      <c r="A22" s="13"/>
      <c r="B22" s="13"/>
      <c r="C22" s="65">
        <v>2</v>
      </c>
      <c r="D22" s="88" t="s">
        <v>33</v>
      </c>
      <c r="E22" s="88"/>
      <c r="F22" s="88"/>
      <c r="G22" s="68"/>
      <c r="H22" s="68">
        <v>180</v>
      </c>
      <c r="I22" s="21"/>
    </row>
    <row r="23" spans="1:13" ht="18" customHeight="1">
      <c r="A23" s="13"/>
      <c r="B23" s="13"/>
      <c r="C23" s="66">
        <v>1</v>
      </c>
      <c r="D23" s="90" t="s">
        <v>34</v>
      </c>
      <c r="E23" s="89"/>
      <c r="F23" s="89"/>
      <c r="G23" s="69"/>
      <c r="H23" s="69">
        <v>180</v>
      </c>
      <c r="I23" s="21"/>
      <c r="J23" s="46"/>
    </row>
    <row r="24" spans="1:13" ht="18" customHeight="1">
      <c r="A24" s="13"/>
      <c r="B24" s="13"/>
      <c r="C24" s="65">
        <v>1</v>
      </c>
      <c r="D24" s="88" t="s">
        <v>35</v>
      </c>
      <c r="E24" s="88"/>
      <c r="F24" s="88"/>
      <c r="G24" s="68"/>
      <c r="H24" s="68">
        <v>130</v>
      </c>
      <c r="I24" s="21"/>
    </row>
    <row r="25" spans="1:13" ht="18" customHeight="1">
      <c r="A25" s="13"/>
      <c r="B25" s="13"/>
      <c r="C25" s="66">
        <v>1</v>
      </c>
      <c r="D25" s="78" t="s">
        <v>36</v>
      </c>
      <c r="E25" s="79"/>
      <c r="F25" s="80"/>
      <c r="G25" s="69"/>
      <c r="H25" s="69">
        <v>400</v>
      </c>
      <c r="I25" s="21"/>
      <c r="M25" s="46"/>
    </row>
    <row r="26" spans="1:13" ht="18" customHeight="1">
      <c r="A26" s="13"/>
      <c r="B26" s="13"/>
      <c r="C26" s="65">
        <v>1</v>
      </c>
      <c r="D26" s="91" t="s">
        <v>37</v>
      </c>
      <c r="E26" s="92"/>
      <c r="F26" s="93"/>
      <c r="G26" s="68"/>
      <c r="H26" s="68">
        <v>150</v>
      </c>
      <c r="I26" s="21"/>
    </row>
    <row r="27" spans="1:13" ht="18" customHeight="1">
      <c r="A27" s="13"/>
      <c r="B27" s="13"/>
      <c r="C27" s="66"/>
      <c r="D27" s="78"/>
      <c r="E27" s="79"/>
      <c r="F27" s="80"/>
      <c r="G27" s="69"/>
      <c r="H27" s="69">
        <v>0</v>
      </c>
      <c r="I27" s="21"/>
    </row>
    <row r="28" spans="1:13" ht="18" customHeight="1">
      <c r="A28" s="13"/>
      <c r="B28" s="13"/>
      <c r="C28" s="65"/>
      <c r="D28" s="91"/>
      <c r="E28" s="92"/>
      <c r="F28" s="93"/>
      <c r="G28" s="68"/>
      <c r="H28" s="68">
        <v>0</v>
      </c>
      <c r="I28" s="21"/>
    </row>
    <row r="29" spans="1:13" ht="18" customHeight="1">
      <c r="A29" s="13"/>
      <c r="B29" s="13"/>
      <c r="C29" s="66"/>
      <c r="D29" s="78"/>
      <c r="E29" s="79"/>
      <c r="F29" s="80"/>
      <c r="G29" s="69"/>
      <c r="H29" s="69">
        <f t="shared" ref="H29:H36" si="0">(C29*G29)</f>
        <v>0</v>
      </c>
      <c r="I29" s="21"/>
    </row>
    <row r="30" spans="1:13" ht="18" customHeight="1">
      <c r="A30" s="13"/>
      <c r="B30" s="13"/>
      <c r="C30" s="65"/>
      <c r="D30" s="91"/>
      <c r="E30" s="92"/>
      <c r="F30" s="93"/>
      <c r="G30" s="68"/>
      <c r="H30" s="68">
        <f t="shared" si="0"/>
        <v>0</v>
      </c>
      <c r="I30" s="21"/>
    </row>
    <row r="31" spans="1:13" ht="18" customHeight="1">
      <c r="A31" s="13"/>
      <c r="B31" s="13"/>
      <c r="C31" s="66"/>
      <c r="D31" s="89"/>
      <c r="E31" s="89"/>
      <c r="F31" s="89"/>
      <c r="G31" s="69"/>
      <c r="H31" s="69">
        <f t="shared" si="0"/>
        <v>0</v>
      </c>
      <c r="I31" s="21"/>
      <c r="L31" s="71"/>
    </row>
    <row r="32" spans="1:13" ht="18" customHeight="1">
      <c r="A32" s="13"/>
      <c r="B32" s="13"/>
      <c r="C32" s="65"/>
      <c r="D32" s="88"/>
      <c r="E32" s="88"/>
      <c r="F32" s="88"/>
      <c r="G32" s="68"/>
      <c r="H32" s="68">
        <f t="shared" si="0"/>
        <v>0</v>
      </c>
      <c r="I32" s="21"/>
    </row>
    <row r="33" spans="1:9" ht="18" customHeight="1">
      <c r="A33" s="13"/>
      <c r="B33" s="13"/>
      <c r="C33" s="66"/>
      <c r="D33" s="89"/>
      <c r="E33" s="89"/>
      <c r="F33" s="89"/>
      <c r="G33" s="69"/>
      <c r="H33" s="69">
        <f t="shared" si="0"/>
        <v>0</v>
      </c>
      <c r="I33" s="21"/>
    </row>
    <row r="34" spans="1:9" ht="18" customHeight="1">
      <c r="A34" s="13"/>
      <c r="B34" s="13"/>
      <c r="C34" s="65"/>
      <c r="D34" s="88"/>
      <c r="E34" s="88"/>
      <c r="F34" s="88"/>
      <c r="G34" s="68"/>
      <c r="H34" s="68">
        <f t="shared" si="0"/>
        <v>0</v>
      </c>
      <c r="I34" s="21"/>
    </row>
    <row r="35" spans="1:9" ht="18" customHeight="1">
      <c r="A35" s="13"/>
      <c r="B35" s="13"/>
      <c r="C35" s="66"/>
      <c r="D35" s="89"/>
      <c r="E35" s="89"/>
      <c r="F35" s="89"/>
      <c r="G35" s="69"/>
      <c r="H35" s="69">
        <f t="shared" si="0"/>
        <v>0</v>
      </c>
      <c r="I35" s="21"/>
    </row>
    <row r="36" spans="1:9" ht="18" customHeight="1">
      <c r="A36" s="13"/>
      <c r="B36" s="13"/>
      <c r="C36" s="67"/>
      <c r="D36" s="96"/>
      <c r="E36" s="96"/>
      <c r="F36" s="96"/>
      <c r="G36" s="70"/>
      <c r="H36" s="70">
        <f t="shared" si="0"/>
        <v>0</v>
      </c>
      <c r="I36" s="21"/>
    </row>
    <row r="37" spans="1:9" ht="7.5" customHeight="1">
      <c r="A37" s="13"/>
      <c r="B37" s="13"/>
      <c r="I37" s="22"/>
    </row>
    <row r="38" spans="1:9" ht="32.25" customHeight="1">
      <c r="A38" s="13"/>
      <c r="B38" s="13"/>
      <c r="C38" s="97" t="s">
        <v>15</v>
      </c>
      <c r="D38" s="98"/>
      <c r="E38" s="98"/>
      <c r="F38" s="98"/>
      <c r="G38" s="34" t="s">
        <v>1</v>
      </c>
      <c r="H38" s="44">
        <f>SUM(H20:H36)</f>
        <v>1730</v>
      </c>
      <c r="I38" s="23"/>
    </row>
    <row r="39" spans="1:9" ht="19.5" customHeight="1">
      <c r="A39" s="13"/>
      <c r="B39" s="13"/>
      <c r="C39" s="99" t="s">
        <v>29</v>
      </c>
      <c r="D39" s="100"/>
      <c r="E39" s="100"/>
      <c r="F39" s="100"/>
      <c r="G39" s="35" t="s">
        <v>9</v>
      </c>
      <c r="H39" s="39">
        <v>0</v>
      </c>
      <c r="I39" s="23"/>
    </row>
    <row r="40" spans="1:9" ht="19.5" customHeight="1">
      <c r="A40" s="13"/>
      <c r="B40" s="13"/>
      <c r="C40" s="100"/>
      <c r="D40" s="100"/>
      <c r="E40" s="100"/>
      <c r="F40" s="100"/>
      <c r="G40" s="35" t="s">
        <v>10</v>
      </c>
      <c r="H40" s="38">
        <f>(H38-H39)</f>
        <v>1730</v>
      </c>
      <c r="I40" s="24"/>
    </row>
    <row r="41" spans="1:9" ht="19.5" customHeight="1">
      <c r="A41" s="13"/>
      <c r="B41" s="13"/>
      <c r="C41" s="100"/>
      <c r="D41" s="100"/>
      <c r="E41" s="100"/>
      <c r="F41" s="100"/>
      <c r="G41" s="35"/>
      <c r="H41" s="45"/>
      <c r="I41" s="23"/>
    </row>
    <row r="42" spans="1:9" ht="19.5" customHeight="1">
      <c r="A42" s="13"/>
      <c r="B42" s="13"/>
      <c r="C42" s="100"/>
      <c r="D42" s="100"/>
      <c r="E42" s="100"/>
      <c r="F42" s="100"/>
      <c r="G42" s="36" t="s">
        <v>11</v>
      </c>
      <c r="H42" s="38">
        <v>0</v>
      </c>
      <c r="I42" s="25"/>
    </row>
    <row r="43" spans="1:9" ht="33.75" customHeight="1">
      <c r="A43" s="13"/>
      <c r="B43" s="13"/>
      <c r="C43" s="97" t="s">
        <v>26</v>
      </c>
      <c r="D43" s="107"/>
      <c r="E43" s="107"/>
      <c r="F43" s="107"/>
      <c r="G43" s="26" t="s">
        <v>21</v>
      </c>
      <c r="H43" s="58">
        <f>(H40+H41+H42)</f>
        <v>1730</v>
      </c>
      <c r="I43" s="27"/>
    </row>
    <row r="44" spans="1:9" ht="9.75" customHeight="1">
      <c r="A44" s="13"/>
      <c r="B44" s="13"/>
      <c r="C44" s="28"/>
      <c r="D44" s="101"/>
      <c r="E44" s="76"/>
      <c r="F44" s="76"/>
      <c r="G44" s="76"/>
      <c r="H44" s="76"/>
      <c r="I44" s="28"/>
    </row>
    <row r="45" spans="1:9" ht="9.75" customHeight="1">
      <c r="A45" s="13"/>
      <c r="B45" s="13"/>
      <c r="C45" s="102"/>
      <c r="D45" s="103"/>
      <c r="E45" s="28"/>
      <c r="F45" s="28"/>
      <c r="G45" s="28"/>
      <c r="H45" s="28"/>
      <c r="I45" s="28"/>
    </row>
    <row r="46" spans="1:9" ht="15.75" customHeight="1">
      <c r="A46" s="13"/>
      <c r="B46" s="13"/>
      <c r="C46" s="29"/>
      <c r="D46" s="104"/>
      <c r="E46" s="104"/>
      <c r="F46" s="104"/>
      <c r="G46" s="104"/>
      <c r="H46" s="104"/>
      <c r="I46" s="29"/>
    </row>
    <row r="47" spans="1:9" ht="15.75" customHeight="1">
      <c r="A47" s="13"/>
      <c r="B47" s="13"/>
      <c r="C47" s="30"/>
      <c r="D47" s="105"/>
      <c r="E47" s="76"/>
      <c r="F47" s="76"/>
      <c r="G47" s="76"/>
      <c r="H47" s="76"/>
      <c r="I47" s="30"/>
    </row>
    <row r="48" spans="1:9" ht="15.75" customHeight="1">
      <c r="A48" s="106" t="s">
        <v>8</v>
      </c>
      <c r="B48" s="106"/>
      <c r="C48" s="106"/>
      <c r="D48" s="106"/>
      <c r="E48" s="106"/>
      <c r="F48" s="106"/>
      <c r="G48" s="106"/>
      <c r="H48" s="106"/>
      <c r="I48" s="106"/>
    </row>
    <row r="49" spans="1:9" ht="15.75" customHeight="1">
      <c r="A49" s="55"/>
      <c r="B49" s="55"/>
      <c r="C49" s="55"/>
      <c r="D49" s="55"/>
      <c r="E49" s="55"/>
      <c r="F49" s="55"/>
      <c r="G49" s="55"/>
      <c r="H49" s="55"/>
      <c r="I49" s="55"/>
    </row>
  </sheetData>
  <mergeCells count="35">
    <mergeCell ref="F15:H15"/>
    <mergeCell ref="G3:H5"/>
    <mergeCell ref="G10:H10"/>
    <mergeCell ref="F11:H11"/>
    <mergeCell ref="C14:D14"/>
    <mergeCell ref="F14:H14"/>
    <mergeCell ref="D27:F27"/>
    <mergeCell ref="C16:D16"/>
    <mergeCell ref="F16:H16"/>
    <mergeCell ref="F17:G17"/>
    <mergeCell ref="D19:F19"/>
    <mergeCell ref="D20:F20"/>
    <mergeCell ref="D21:F21"/>
    <mergeCell ref="D22:F22"/>
    <mergeCell ref="D23:F23"/>
    <mergeCell ref="D24:F24"/>
    <mergeCell ref="D25:F25"/>
    <mergeCell ref="D26:F26"/>
    <mergeCell ref="C43:F43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C38:F38"/>
    <mergeCell ref="C39:F42"/>
    <mergeCell ref="D44:H44"/>
    <mergeCell ref="C45:D45"/>
    <mergeCell ref="D46:H46"/>
    <mergeCell ref="D47:H47"/>
    <mergeCell ref="A48:I48"/>
  </mergeCells>
  <hyperlinks>
    <hyperlink ref="F17" r:id="rId1" xr:uid="{00000000-0004-0000-0000-000000000000}"/>
    <hyperlink ref="D6" r:id="rId2" xr:uid="{00000000-0004-0000-0000-000001000000}"/>
  </hyperlinks>
  <printOptions horizontalCentered="1" verticalCentered="1"/>
  <pageMargins left="0.7" right="0.7" top="0.75" bottom="0.75" header="0.3" footer="0.3"/>
  <pageSetup scale="76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496B0"/>
    <outlinePr summaryBelow="0" summaryRight="0"/>
    <pageSetUpPr fitToPage="1"/>
  </sheetPr>
  <dimension ref="A1:M49"/>
  <sheetViews>
    <sheetView showGridLines="0" topLeftCell="A13" zoomScale="130" zoomScaleNormal="130" workbookViewId="0">
      <selection activeCell="J16" sqref="J16"/>
    </sheetView>
  </sheetViews>
  <sheetFormatPr baseColWidth="10" defaultColWidth="17.28515625" defaultRowHeight="15" customHeight="1"/>
  <cols>
    <col min="1" max="2" width="4.28515625" customWidth="1"/>
    <col min="3" max="3" width="11.7109375" customWidth="1"/>
    <col min="4" max="4" width="31.85546875" customWidth="1"/>
    <col min="5" max="5" width="7.42578125" customWidth="1"/>
    <col min="6" max="6" width="16.42578125" customWidth="1"/>
    <col min="7" max="7" width="17.5703125" customWidth="1"/>
    <col min="8" max="8" width="21.85546875" customWidth="1"/>
    <col min="9" max="9" width="4" customWidth="1"/>
  </cols>
  <sheetData>
    <row r="1" spans="1:9" ht="14.25" customHeight="1">
      <c r="A1" s="50"/>
      <c r="B1" s="50"/>
      <c r="C1" s="51"/>
      <c r="D1" s="51"/>
      <c r="E1" s="52"/>
      <c r="F1" s="53"/>
      <c r="G1" s="52"/>
      <c r="H1" s="54"/>
      <c r="I1" s="54"/>
    </row>
    <row r="2" spans="1:9" ht="25.5" customHeight="1">
      <c r="A2" s="1"/>
      <c r="B2" s="1"/>
      <c r="C2" s="2"/>
      <c r="D2" s="2"/>
      <c r="E2" s="3"/>
      <c r="F2" s="3"/>
      <c r="G2" s="3"/>
      <c r="H2" s="4"/>
      <c r="I2" s="4"/>
    </row>
    <row r="3" spans="1:9" ht="15.75" customHeight="1">
      <c r="A3" s="5"/>
      <c r="B3" s="5"/>
      <c r="C3" s="6"/>
      <c r="D3" s="62" t="s">
        <v>25</v>
      </c>
      <c r="E3" s="6"/>
      <c r="F3" s="1"/>
      <c r="G3" s="108" t="s">
        <v>13</v>
      </c>
      <c r="H3" s="108"/>
      <c r="I3" s="6"/>
    </row>
    <row r="4" spans="1:9" ht="18" customHeight="1">
      <c r="A4" s="5"/>
      <c r="B4" s="5"/>
      <c r="C4" s="6"/>
      <c r="D4" s="61" t="s">
        <v>18</v>
      </c>
      <c r="E4" s="6"/>
      <c r="F4" s="1"/>
      <c r="G4" s="108"/>
      <c r="H4" s="108"/>
      <c r="I4" s="6"/>
    </row>
    <row r="5" spans="1:9" ht="18" customHeight="1">
      <c r="A5" s="5"/>
      <c r="B5" s="5"/>
      <c r="C5" s="6"/>
      <c r="D5" s="61" t="s">
        <v>17</v>
      </c>
      <c r="E5" s="6"/>
      <c r="F5" s="1"/>
      <c r="G5" s="108"/>
      <c r="H5" s="108"/>
      <c r="I5" s="6"/>
    </row>
    <row r="6" spans="1:9" ht="18" customHeight="1">
      <c r="A6" s="5"/>
      <c r="B6" s="5"/>
      <c r="C6" s="7"/>
      <c r="D6" s="60" t="s">
        <v>16</v>
      </c>
      <c r="E6" s="1"/>
      <c r="F6" s="8"/>
      <c r="G6" s="1"/>
      <c r="H6" s="32" t="s">
        <v>12</v>
      </c>
      <c r="I6" s="9"/>
    </row>
    <row r="7" spans="1:9" ht="18" customHeight="1">
      <c r="A7" s="5"/>
      <c r="B7" s="5"/>
      <c r="C7" s="7"/>
      <c r="D7" s="7"/>
      <c r="E7" s="1"/>
      <c r="F7" s="10"/>
      <c r="G7" s="1"/>
      <c r="H7" s="37">
        <f ca="1">TODAY()</f>
        <v>45226</v>
      </c>
      <c r="I7" s="11"/>
    </row>
    <row r="8" spans="1:9" ht="18" customHeight="1">
      <c r="A8" s="5"/>
      <c r="B8" s="5"/>
      <c r="C8" s="7"/>
      <c r="D8" s="7"/>
      <c r="E8" s="1"/>
      <c r="F8" s="8"/>
      <c r="G8" s="1"/>
      <c r="H8" s="32" t="s">
        <v>6</v>
      </c>
      <c r="I8" s="9"/>
    </row>
    <row r="9" spans="1:9" ht="24" customHeight="1">
      <c r="A9" s="5"/>
      <c r="B9" s="5"/>
      <c r="C9" s="7"/>
      <c r="D9" s="7"/>
      <c r="E9" s="1"/>
      <c r="F9" s="12"/>
      <c r="G9" s="1"/>
      <c r="H9" s="43">
        <v>325</v>
      </c>
      <c r="I9" s="12"/>
    </row>
    <row r="10" spans="1:9" ht="18" customHeight="1">
      <c r="A10" s="13"/>
      <c r="B10" s="13"/>
      <c r="C10" s="14"/>
      <c r="D10" s="14"/>
      <c r="E10" s="15"/>
      <c r="F10" s="15"/>
      <c r="G10" s="75"/>
      <c r="H10" s="76"/>
      <c r="I10" s="16"/>
    </row>
    <row r="11" spans="1:9" ht="18" customHeight="1">
      <c r="A11" s="13"/>
      <c r="B11" s="13"/>
      <c r="C11" s="17"/>
      <c r="D11" s="17"/>
      <c r="E11" s="15"/>
      <c r="F11" s="77"/>
      <c r="G11" s="76"/>
      <c r="H11" s="76"/>
      <c r="I11" s="18"/>
    </row>
    <row r="12" spans="1:9" ht="15.75" customHeight="1">
      <c r="A12" s="13"/>
      <c r="B12" s="13"/>
      <c r="C12" s="31" t="s">
        <v>0</v>
      </c>
      <c r="D12" s="31"/>
      <c r="E12" s="15"/>
      <c r="F12" s="31" t="s">
        <v>2</v>
      </c>
      <c r="G12" s="33"/>
      <c r="H12" s="33"/>
      <c r="I12" s="19"/>
    </row>
    <row r="13" spans="1:9" ht="4.5" customHeight="1">
      <c r="A13" s="13"/>
      <c r="B13" s="13"/>
      <c r="C13" s="15"/>
      <c r="D13" s="15"/>
      <c r="E13" s="15"/>
      <c r="F13" s="15"/>
      <c r="G13" s="15"/>
      <c r="H13" s="15"/>
      <c r="I13" s="15"/>
    </row>
    <row r="14" spans="1:9" ht="18" customHeight="1">
      <c r="A14" s="13"/>
      <c r="B14" s="13"/>
      <c r="C14" s="72" t="s">
        <v>27</v>
      </c>
      <c r="D14" s="73"/>
      <c r="E14" s="20"/>
      <c r="F14" s="72" t="s">
        <v>14</v>
      </c>
      <c r="G14" s="73"/>
      <c r="H14" s="73"/>
      <c r="I14" s="21"/>
    </row>
    <row r="15" spans="1:9" ht="18" customHeight="1">
      <c r="A15" s="13"/>
      <c r="B15" s="13"/>
      <c r="C15" s="63" t="s">
        <v>28</v>
      </c>
      <c r="D15" s="64"/>
      <c r="E15" s="20"/>
      <c r="F15" s="72" t="s">
        <v>18</v>
      </c>
      <c r="G15" s="73"/>
      <c r="H15" s="73"/>
      <c r="I15" s="21"/>
    </row>
    <row r="16" spans="1:9" ht="18" customHeight="1">
      <c r="A16" s="13"/>
      <c r="B16" s="13"/>
      <c r="C16" s="81"/>
      <c r="D16" s="82"/>
      <c r="E16" s="20"/>
      <c r="F16" s="72" t="s">
        <v>17</v>
      </c>
      <c r="G16" s="73"/>
      <c r="H16" s="73"/>
      <c r="I16" s="21"/>
    </row>
    <row r="17" spans="1:13" ht="18" customHeight="1">
      <c r="A17" s="13"/>
      <c r="B17" s="13"/>
      <c r="E17" s="20"/>
      <c r="F17" s="83" t="s">
        <v>16</v>
      </c>
      <c r="G17" s="84"/>
      <c r="H17" s="63"/>
      <c r="I17" s="21"/>
    </row>
    <row r="18" spans="1:13" ht="18" customHeight="1">
      <c r="A18" s="13"/>
      <c r="B18" s="13"/>
      <c r="C18" s="21"/>
      <c r="E18" s="20"/>
      <c r="F18" s="21"/>
      <c r="H18" s="21"/>
      <c r="I18" s="21"/>
    </row>
    <row r="19" spans="1:13" ht="18" customHeight="1">
      <c r="A19" s="13"/>
      <c r="B19" s="13"/>
      <c r="C19" s="56" t="s">
        <v>3</v>
      </c>
      <c r="D19" s="85" t="s">
        <v>5</v>
      </c>
      <c r="E19" s="86"/>
      <c r="F19" s="87"/>
      <c r="G19" s="57" t="s">
        <v>7</v>
      </c>
      <c r="H19" s="56" t="s">
        <v>4</v>
      </c>
      <c r="I19" s="21"/>
    </row>
    <row r="20" spans="1:13" ht="18" customHeight="1">
      <c r="A20" s="13"/>
      <c r="B20" s="13"/>
      <c r="C20" s="47">
        <v>1</v>
      </c>
      <c r="D20" s="88" t="s">
        <v>20</v>
      </c>
      <c r="E20" s="88"/>
      <c r="F20" s="88"/>
      <c r="G20" s="40"/>
      <c r="H20" s="40">
        <v>440</v>
      </c>
      <c r="I20" s="59"/>
    </row>
    <row r="21" spans="1:13" ht="18" customHeight="1">
      <c r="A21" s="13"/>
      <c r="B21" s="13"/>
      <c r="C21" s="48">
        <v>1</v>
      </c>
      <c r="D21" s="89" t="s">
        <v>19</v>
      </c>
      <c r="E21" s="89"/>
      <c r="F21" s="89"/>
      <c r="G21" s="42"/>
      <c r="H21" s="42">
        <v>456</v>
      </c>
      <c r="I21" s="59"/>
    </row>
    <row r="22" spans="1:13" ht="18" customHeight="1">
      <c r="A22" s="13"/>
      <c r="B22" s="13"/>
      <c r="C22" s="47">
        <v>1</v>
      </c>
      <c r="D22" s="88" t="s">
        <v>23</v>
      </c>
      <c r="E22" s="88"/>
      <c r="F22" s="88"/>
      <c r="G22" s="40"/>
      <c r="H22" s="40">
        <v>1524</v>
      </c>
      <c r="I22" s="21"/>
    </row>
    <row r="23" spans="1:13" ht="18" customHeight="1">
      <c r="A23" s="13"/>
      <c r="B23" s="13"/>
      <c r="C23" s="48">
        <v>1</v>
      </c>
      <c r="D23" s="89" t="s">
        <v>24</v>
      </c>
      <c r="E23" s="89"/>
      <c r="F23" s="89"/>
      <c r="G23" s="42"/>
      <c r="H23" s="42">
        <v>325</v>
      </c>
      <c r="I23" s="21"/>
      <c r="J23" s="46"/>
    </row>
    <row r="24" spans="1:13" ht="18" customHeight="1">
      <c r="A24" s="13"/>
      <c r="B24" s="13"/>
      <c r="C24" s="47"/>
      <c r="D24" s="109"/>
      <c r="E24" s="109"/>
      <c r="F24" s="109"/>
      <c r="G24" s="40"/>
      <c r="H24" s="40">
        <f t="shared" ref="H24:H36" si="0">(C24*G24)</f>
        <v>0</v>
      </c>
      <c r="I24" s="21"/>
    </row>
    <row r="25" spans="1:13" ht="18" customHeight="1">
      <c r="A25" s="13"/>
      <c r="B25" s="13"/>
      <c r="C25" s="48"/>
      <c r="D25" s="112"/>
      <c r="E25" s="113"/>
      <c r="F25" s="114"/>
      <c r="G25" s="42"/>
      <c r="H25" s="42">
        <f t="shared" si="0"/>
        <v>0</v>
      </c>
      <c r="I25" s="21"/>
      <c r="M25" s="46"/>
    </row>
    <row r="26" spans="1:13" ht="18" customHeight="1">
      <c r="A26" s="13"/>
      <c r="B26" s="13"/>
      <c r="C26" s="47"/>
      <c r="D26" s="115"/>
      <c r="E26" s="116"/>
      <c r="F26" s="117"/>
      <c r="G26" s="40"/>
      <c r="H26" s="40">
        <f t="shared" si="0"/>
        <v>0</v>
      </c>
      <c r="I26" s="21"/>
    </row>
    <row r="27" spans="1:13" ht="18" customHeight="1">
      <c r="A27" s="13"/>
      <c r="B27" s="13"/>
      <c r="C27" s="48"/>
      <c r="D27" s="112"/>
      <c r="E27" s="113"/>
      <c r="F27" s="114"/>
      <c r="G27" s="42"/>
      <c r="H27" s="42">
        <f t="shared" si="0"/>
        <v>0</v>
      </c>
      <c r="I27" s="21"/>
    </row>
    <row r="28" spans="1:13" ht="18" customHeight="1">
      <c r="A28" s="13"/>
      <c r="B28" s="13"/>
      <c r="C28" s="47"/>
      <c r="D28" s="115"/>
      <c r="E28" s="116"/>
      <c r="F28" s="117"/>
      <c r="G28" s="40"/>
      <c r="H28" s="40">
        <f t="shared" si="0"/>
        <v>0</v>
      </c>
      <c r="I28" s="21"/>
    </row>
    <row r="29" spans="1:13" ht="18" customHeight="1">
      <c r="A29" s="13"/>
      <c r="B29" s="13"/>
      <c r="C29" s="48"/>
      <c r="D29" s="112"/>
      <c r="E29" s="113"/>
      <c r="F29" s="114"/>
      <c r="G29" s="42"/>
      <c r="H29" s="42">
        <f t="shared" si="0"/>
        <v>0</v>
      </c>
      <c r="I29" s="21"/>
    </row>
    <row r="30" spans="1:13" ht="18" customHeight="1">
      <c r="A30" s="13"/>
      <c r="B30" s="13"/>
      <c r="C30" s="47"/>
      <c r="D30" s="115"/>
      <c r="E30" s="116"/>
      <c r="F30" s="117"/>
      <c r="G30" s="40"/>
      <c r="H30" s="40">
        <f t="shared" si="0"/>
        <v>0</v>
      </c>
      <c r="I30" s="21"/>
    </row>
    <row r="31" spans="1:13" ht="18" customHeight="1">
      <c r="A31" s="13"/>
      <c r="B31" s="13"/>
      <c r="C31" s="48"/>
      <c r="D31" s="110"/>
      <c r="E31" s="110"/>
      <c r="F31" s="110"/>
      <c r="G31" s="42"/>
      <c r="H31" s="42">
        <f t="shared" si="0"/>
        <v>0</v>
      </c>
      <c r="I31" s="21"/>
    </row>
    <row r="32" spans="1:13" ht="18" customHeight="1">
      <c r="A32" s="13"/>
      <c r="B32" s="13"/>
      <c r="C32" s="47"/>
      <c r="D32" s="109"/>
      <c r="E32" s="109"/>
      <c r="F32" s="109"/>
      <c r="G32" s="40"/>
      <c r="H32" s="40">
        <f t="shared" si="0"/>
        <v>0</v>
      </c>
      <c r="I32" s="21"/>
    </row>
    <row r="33" spans="1:9" ht="18" customHeight="1">
      <c r="A33" s="13"/>
      <c r="B33" s="13"/>
      <c r="C33" s="48"/>
      <c r="D33" s="110"/>
      <c r="E33" s="110"/>
      <c r="F33" s="110"/>
      <c r="G33" s="42"/>
      <c r="H33" s="42">
        <f t="shared" si="0"/>
        <v>0</v>
      </c>
      <c r="I33" s="21"/>
    </row>
    <row r="34" spans="1:9" ht="18" customHeight="1">
      <c r="A34" s="13"/>
      <c r="B34" s="13"/>
      <c r="C34" s="47"/>
      <c r="D34" s="109"/>
      <c r="E34" s="109"/>
      <c r="F34" s="109"/>
      <c r="G34" s="40"/>
      <c r="H34" s="40">
        <f t="shared" si="0"/>
        <v>0</v>
      </c>
      <c r="I34" s="21"/>
    </row>
    <row r="35" spans="1:9" ht="18" customHeight="1">
      <c r="A35" s="13"/>
      <c r="B35" s="13"/>
      <c r="C35" s="48"/>
      <c r="D35" s="110"/>
      <c r="E35" s="110"/>
      <c r="F35" s="110"/>
      <c r="G35" s="42"/>
      <c r="H35" s="42">
        <f t="shared" si="0"/>
        <v>0</v>
      </c>
      <c r="I35" s="21"/>
    </row>
    <row r="36" spans="1:9" ht="18" customHeight="1">
      <c r="A36" s="13"/>
      <c r="B36" s="13"/>
      <c r="C36" s="49"/>
      <c r="D36" s="111"/>
      <c r="E36" s="111"/>
      <c r="F36" s="111"/>
      <c r="G36" s="41"/>
      <c r="H36" s="41">
        <f t="shared" si="0"/>
        <v>0</v>
      </c>
      <c r="I36" s="21"/>
    </row>
    <row r="37" spans="1:9" ht="7.5" customHeight="1">
      <c r="A37" s="13"/>
      <c r="B37" s="13"/>
      <c r="I37" s="22"/>
    </row>
    <row r="38" spans="1:9" ht="32.25" customHeight="1">
      <c r="A38" s="13"/>
      <c r="B38" s="13"/>
      <c r="C38" s="97" t="s">
        <v>15</v>
      </c>
      <c r="D38" s="98"/>
      <c r="E38" s="98"/>
      <c r="F38" s="98"/>
      <c r="G38" s="34" t="s">
        <v>1</v>
      </c>
      <c r="H38" s="44">
        <f>SUM(H20:H36)</f>
        <v>2745</v>
      </c>
      <c r="I38" s="23"/>
    </row>
    <row r="39" spans="1:9" ht="19.5" customHeight="1">
      <c r="A39" s="13"/>
      <c r="B39" s="13"/>
      <c r="C39" s="99" t="s">
        <v>29</v>
      </c>
      <c r="D39" s="100"/>
      <c r="E39" s="100"/>
      <c r="F39" s="100"/>
      <c r="G39" s="35" t="s">
        <v>9</v>
      </c>
      <c r="H39" s="39">
        <v>0</v>
      </c>
      <c r="I39" s="23"/>
    </row>
    <row r="40" spans="1:9" ht="19.5" customHeight="1">
      <c r="A40" s="13"/>
      <c r="B40" s="13"/>
      <c r="C40" s="100"/>
      <c r="D40" s="100"/>
      <c r="E40" s="100"/>
      <c r="F40" s="100"/>
      <c r="G40" s="35" t="s">
        <v>10</v>
      </c>
      <c r="H40" s="38">
        <f>(H38-H39)</f>
        <v>2745</v>
      </c>
      <c r="I40" s="24"/>
    </row>
    <row r="41" spans="1:9" ht="19.5" customHeight="1">
      <c r="A41" s="13"/>
      <c r="B41" s="13"/>
      <c r="C41" s="100"/>
      <c r="D41" s="100"/>
      <c r="E41" s="100"/>
      <c r="F41" s="100"/>
      <c r="G41" s="35" t="s">
        <v>22</v>
      </c>
      <c r="H41" s="45">
        <f>(H40*18%)</f>
        <v>494.09999999999997</v>
      </c>
      <c r="I41" s="23"/>
    </row>
    <row r="42" spans="1:9" ht="19.5" customHeight="1">
      <c r="A42" s="13"/>
      <c r="B42" s="13"/>
      <c r="C42" s="100"/>
      <c r="D42" s="100"/>
      <c r="E42" s="100"/>
      <c r="F42" s="100"/>
      <c r="G42" s="36" t="s">
        <v>11</v>
      </c>
      <c r="H42" s="38">
        <v>0</v>
      </c>
      <c r="I42" s="25"/>
    </row>
    <row r="43" spans="1:9" ht="33.75" customHeight="1">
      <c r="A43" s="13"/>
      <c r="B43" s="13"/>
      <c r="C43" s="97" t="s">
        <v>26</v>
      </c>
      <c r="D43" s="107"/>
      <c r="E43" s="107"/>
      <c r="F43" s="107"/>
      <c r="G43" s="26" t="s">
        <v>21</v>
      </c>
      <c r="H43" s="58">
        <f>(H40+H41+H42)</f>
        <v>3239.1</v>
      </c>
      <c r="I43" s="27"/>
    </row>
    <row r="44" spans="1:9" ht="9.75" customHeight="1">
      <c r="A44" s="13"/>
      <c r="B44" s="13"/>
      <c r="C44" s="28"/>
      <c r="D44" s="101"/>
      <c r="E44" s="76"/>
      <c r="F44" s="76"/>
      <c r="G44" s="76"/>
      <c r="H44" s="76"/>
      <c r="I44" s="28"/>
    </row>
    <row r="45" spans="1:9" ht="9.75" customHeight="1">
      <c r="A45" s="13"/>
      <c r="B45" s="13"/>
      <c r="C45" s="102"/>
      <c r="D45" s="103"/>
      <c r="E45" s="28"/>
      <c r="F45" s="28"/>
      <c r="G45" s="28"/>
      <c r="H45" s="28"/>
      <c r="I45" s="28"/>
    </row>
    <row r="46" spans="1:9" ht="15.75" customHeight="1">
      <c r="A46" s="13"/>
      <c r="B46" s="13"/>
      <c r="C46" s="29"/>
      <c r="D46" s="104"/>
      <c r="E46" s="104"/>
      <c r="F46" s="104"/>
      <c r="G46" s="104"/>
      <c r="H46" s="104"/>
      <c r="I46" s="29"/>
    </row>
    <row r="47" spans="1:9" ht="15.75" customHeight="1">
      <c r="A47" s="13"/>
      <c r="B47" s="13"/>
      <c r="C47" s="30"/>
      <c r="D47" s="105"/>
      <c r="E47" s="76"/>
      <c r="F47" s="76"/>
      <c r="G47" s="76"/>
      <c r="H47" s="76"/>
      <c r="I47" s="30"/>
    </row>
    <row r="48" spans="1:9" ht="15.75" customHeight="1">
      <c r="A48" s="106" t="s">
        <v>8</v>
      </c>
      <c r="B48" s="106"/>
      <c r="C48" s="106"/>
      <c r="D48" s="106"/>
      <c r="E48" s="106"/>
      <c r="F48" s="106"/>
      <c r="G48" s="106"/>
      <c r="H48" s="106"/>
      <c r="I48" s="106"/>
    </row>
    <row r="49" spans="1:9" ht="15.75" customHeight="1">
      <c r="A49" s="55"/>
      <c r="B49" s="55"/>
      <c r="C49" s="55"/>
      <c r="D49" s="55"/>
      <c r="E49" s="55"/>
      <c r="F49" s="55"/>
      <c r="G49" s="55"/>
      <c r="H49" s="55"/>
      <c r="I49" s="55"/>
    </row>
  </sheetData>
  <mergeCells count="35">
    <mergeCell ref="G3:H5"/>
    <mergeCell ref="F17:G17"/>
    <mergeCell ref="G10:H10"/>
    <mergeCell ref="F11:H11"/>
    <mergeCell ref="C16:D16"/>
    <mergeCell ref="C14:D14"/>
    <mergeCell ref="F14:H14"/>
    <mergeCell ref="F15:H15"/>
    <mergeCell ref="F16:H16"/>
    <mergeCell ref="D28:F28"/>
    <mergeCell ref="D29:F29"/>
    <mergeCell ref="D30:F30"/>
    <mergeCell ref="D26:F26"/>
    <mergeCell ref="D27:F27"/>
    <mergeCell ref="D46:H46"/>
    <mergeCell ref="D44:H44"/>
    <mergeCell ref="C38:F38"/>
    <mergeCell ref="C43:F43"/>
    <mergeCell ref="C39:F42"/>
    <mergeCell ref="D19:F19"/>
    <mergeCell ref="A48:I48"/>
    <mergeCell ref="C45:D45"/>
    <mergeCell ref="D20:F20"/>
    <mergeCell ref="D21:F21"/>
    <mergeCell ref="D22:F22"/>
    <mergeCell ref="D23:F23"/>
    <mergeCell ref="D24:F24"/>
    <mergeCell ref="D31:F31"/>
    <mergeCell ref="D32:F32"/>
    <mergeCell ref="D33:F33"/>
    <mergeCell ref="D34:F34"/>
    <mergeCell ref="D35:F35"/>
    <mergeCell ref="D36:F36"/>
    <mergeCell ref="D25:F25"/>
    <mergeCell ref="D47:H47"/>
  </mergeCells>
  <hyperlinks>
    <hyperlink ref="F17" r:id="rId1" xr:uid="{00000000-0004-0000-0100-000000000000}"/>
    <hyperlink ref="D6" r:id="rId2" xr:uid="{00000000-0004-0000-0100-000001000000}"/>
  </hyperlinks>
  <printOptions horizontalCentered="1" verticalCentered="1"/>
  <pageMargins left="0.7" right="0.7" top="0.75" bottom="0.75" header="0.3" footer="0.3"/>
  <pageSetup scale="77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</vt:lpstr>
      <vt:lpstr>R5 4600G</vt:lpstr>
      <vt:lpstr>XD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ZBook</dc:creator>
  <cp:lastModifiedBy>USER</cp:lastModifiedBy>
  <cp:lastPrinted>2023-10-26T20:07:13Z</cp:lastPrinted>
  <dcterms:created xsi:type="dcterms:W3CDTF">2021-04-06T07:00:20Z</dcterms:created>
  <dcterms:modified xsi:type="dcterms:W3CDTF">2023-10-28T00:51:33Z</dcterms:modified>
</cp:coreProperties>
</file>